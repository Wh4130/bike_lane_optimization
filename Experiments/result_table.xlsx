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huanglinchun/Desktop/NTU/113_2/Operations Research/OR_final_project/Experiments/"/>
    </mc:Choice>
  </mc:AlternateContent>
  <xr:revisionPtr revIDLastSave="0" documentId="13_ncr:1_{CE743024-132E-C446-B8CC-F469EF5DB7EB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" i="1" l="1"/>
  <c r="AJ6" i="1"/>
  <c r="AJ7" i="1"/>
  <c r="AJ8" i="1"/>
  <c r="AJ9" i="1"/>
  <c r="AJ10" i="1"/>
  <c r="AJ11" i="1"/>
  <c r="AJ12" i="1"/>
  <c r="AJ13" i="1"/>
  <c r="AJ14" i="1"/>
  <c r="AJ15" i="1"/>
  <c r="AJ16" i="1"/>
  <c r="AJ17" i="1"/>
  <c r="AJ4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</calcChain>
</file>

<file path=xl/sharedStrings.xml><?xml version="1.0" encoding="utf-8"?>
<sst xmlns="http://schemas.openxmlformats.org/spreadsheetml/2006/main" count="65" uniqueCount="19">
  <si>
    <t>naiveObjVal</t>
  </si>
  <si>
    <t>naiveTime</t>
  </si>
  <si>
    <t>heuObjVal</t>
  </si>
  <si>
    <t>heuTime</t>
  </si>
  <si>
    <t>solverObjVal</t>
  </si>
  <si>
    <t>solverTime</t>
  </si>
  <si>
    <t>optGapNaive</t>
  </si>
  <si>
    <t>optGapHeu</t>
  </si>
  <si>
    <t>mean</t>
  </si>
  <si>
    <t>std</t>
  </si>
  <si>
    <t>scenarioID</t>
  </si>
  <si>
    <t>1_np</t>
  </si>
  <si>
    <t>2_np</t>
  </si>
  <si>
    <t>3_np</t>
  </si>
  <si>
    <t>4_np</t>
  </si>
  <si>
    <t>5_np</t>
  </si>
  <si>
    <t>6_np</t>
  </si>
  <si>
    <t>7_np</t>
  </si>
  <si>
    <t xml:space="preserve"> &amp;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</si>
</sst>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7"/>
  <sheetViews>
    <sheetView tabSelected="1" topLeftCell="N1" workbookViewId="0">
      <selection activeCell="AJ4" sqref="AJ4:AJ17"/>
    </sheetView>
  </sheetViews>
  <sheetFormatPr baseColWidth="10" defaultColWidth="9" defaultRowHeight="14"/>
  <sheetData>
    <row r="1" spans="1:36">
      <c r="A1" s="1"/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  <c r="J1" s="2" t="s">
        <v>4</v>
      </c>
      <c r="K1" s="2"/>
      <c r="L1" s="2" t="s">
        <v>5</v>
      </c>
      <c r="M1" s="2"/>
      <c r="N1" s="2" t="s">
        <v>6</v>
      </c>
      <c r="O1" s="2"/>
      <c r="P1" s="2" t="s">
        <v>7</v>
      </c>
      <c r="Q1" s="2"/>
      <c r="S1" s="2" t="s">
        <v>0</v>
      </c>
      <c r="T1" s="2"/>
      <c r="U1" s="2" t="s">
        <v>1</v>
      </c>
      <c r="V1" s="2"/>
      <c r="W1" s="2" t="s">
        <v>2</v>
      </c>
      <c r="X1" s="2"/>
      <c r="Y1" s="2" t="s">
        <v>3</v>
      </c>
      <c r="Z1" s="2"/>
      <c r="AA1" s="2" t="s">
        <v>4</v>
      </c>
      <c r="AB1" s="2"/>
      <c r="AC1" s="2" t="s">
        <v>5</v>
      </c>
      <c r="AD1" s="2"/>
      <c r="AE1" s="2" t="s">
        <v>6</v>
      </c>
      <c r="AF1" s="2"/>
      <c r="AG1" s="2" t="s">
        <v>7</v>
      </c>
      <c r="AH1" s="2"/>
    </row>
    <row r="2" spans="1:36">
      <c r="A2" s="1"/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  <c r="N2" s="1" t="s">
        <v>8</v>
      </c>
      <c r="O2" s="1" t="s">
        <v>9</v>
      </c>
      <c r="P2" s="1" t="s">
        <v>8</v>
      </c>
      <c r="Q2" s="1" t="s">
        <v>9</v>
      </c>
      <c r="S2" s="1" t="s">
        <v>8</v>
      </c>
      <c r="T2" s="1" t="s">
        <v>9</v>
      </c>
      <c r="U2" s="1" t="s">
        <v>8</v>
      </c>
      <c r="V2" s="1" t="s">
        <v>9</v>
      </c>
      <c r="W2" s="1" t="s">
        <v>8</v>
      </c>
      <c r="X2" s="1" t="s">
        <v>9</v>
      </c>
      <c r="Y2" s="1" t="s">
        <v>8</v>
      </c>
      <c r="Z2" s="1" t="s">
        <v>9</v>
      </c>
      <c r="AA2" s="1" t="s">
        <v>8</v>
      </c>
      <c r="AB2" s="1" t="s">
        <v>9</v>
      </c>
      <c r="AC2" s="1" t="s">
        <v>8</v>
      </c>
      <c r="AD2" s="1" t="s">
        <v>9</v>
      </c>
      <c r="AE2" s="1" t="s">
        <v>8</v>
      </c>
      <c r="AF2" s="1" t="s">
        <v>9</v>
      </c>
      <c r="AG2" s="1" t="s">
        <v>8</v>
      </c>
      <c r="AH2" s="1" t="s">
        <v>9</v>
      </c>
      <c r="AJ2" s="3" t="s">
        <v>18</v>
      </c>
    </row>
    <row r="3" spans="1:36">
      <c r="A3" s="1" t="s">
        <v>10</v>
      </c>
      <c r="R3" s="1" t="s">
        <v>10</v>
      </c>
    </row>
    <row r="4" spans="1:36">
      <c r="A4" s="1">
        <v>1</v>
      </c>
      <c r="B4">
        <v>587.8722059370557</v>
      </c>
      <c r="C4">
        <v>35.804664422151781</v>
      </c>
      <c r="D4">
        <v>0.2182767311731974</v>
      </c>
      <c r="E4">
        <v>3.0711150654446111E-2</v>
      </c>
      <c r="F4">
        <v>1233.5430167836521</v>
      </c>
      <c r="G4">
        <v>52.292943172457903</v>
      </c>
      <c r="H4">
        <v>0.7676722606023153</v>
      </c>
      <c r="I4">
        <v>0.125419187886677</v>
      </c>
      <c r="J4">
        <v>3791.6169037704508</v>
      </c>
      <c r="K4">
        <v>48.244173364056813</v>
      </c>
      <c r="L4">
        <v>4.9273442983627316</v>
      </c>
      <c r="M4">
        <v>0.50725847831442927</v>
      </c>
      <c r="N4">
        <v>0.84493383777690734</v>
      </c>
      <c r="O4">
        <v>9.629041650198249E-3</v>
      </c>
      <c r="P4">
        <v>0.67462419434003207</v>
      </c>
      <c r="Q4">
        <v>1.416972142742434E-2</v>
      </c>
      <c r="R4" s="1">
        <v>1</v>
      </c>
      <c r="S4">
        <f>ROUND(B4, 2)</f>
        <v>587.87</v>
      </c>
      <c r="T4">
        <f t="shared" ref="T4:AC4" si="0">ROUND(C4, 2)</f>
        <v>35.799999999999997</v>
      </c>
      <c r="U4">
        <f t="shared" si="0"/>
        <v>0.22</v>
      </c>
      <c r="V4">
        <f t="shared" si="0"/>
        <v>0.03</v>
      </c>
      <c r="W4">
        <f t="shared" si="0"/>
        <v>1233.54</v>
      </c>
      <c r="X4">
        <f t="shared" si="0"/>
        <v>52.29</v>
      </c>
      <c r="Y4">
        <f t="shared" si="0"/>
        <v>0.77</v>
      </c>
      <c r="Z4">
        <f t="shared" si="0"/>
        <v>0.13</v>
      </c>
      <c r="AA4">
        <f t="shared" si="0"/>
        <v>3791.62</v>
      </c>
      <c r="AB4">
        <f t="shared" si="0"/>
        <v>48.24</v>
      </c>
      <c r="AC4">
        <f t="shared" si="0"/>
        <v>4.93</v>
      </c>
      <c r="AD4">
        <f t="shared" ref="AD4" si="1">ROUND(M4, 2)</f>
        <v>0.51</v>
      </c>
      <c r="AE4">
        <f t="shared" ref="AE4" si="2">ROUND(N4, 2)</f>
        <v>0.84</v>
      </c>
      <c r="AF4">
        <f t="shared" ref="AF4" si="3">ROUND(O4, 2)</f>
        <v>0.01</v>
      </c>
      <c r="AG4">
        <f t="shared" ref="AG4" si="4">ROUND(P4, 2)</f>
        <v>0.67</v>
      </c>
      <c r="AH4">
        <f t="shared" ref="AH4" si="5">ROUND(Q4, 2)</f>
        <v>0.01</v>
      </c>
      <c r="AJ4" t="str">
        <f>R4 &amp; $AJ$2 &amp; AA4 &amp; $AJ$2 &amp; S4 &amp; $AJ$2 &amp; W4 &amp; $AJ$2 &amp; AE4 &amp; $AJ$2 &amp; AF4 &amp; $AJ$2 &amp; AG4 &amp; $AJ$2 &amp; AH4 &amp; $AJ$2 &amp; AC4 &amp; $AJ$2 &amp; U4 &amp; $AJ$2 &amp; Y4 &amp; "\\"</f>
        <v>1 &amp; 3791.62 &amp; 587.87 &amp; 1233.54 &amp; 0.84 &amp; 0.01 &amp; 0.67 &amp; 0.01 &amp; 4.93 &amp; 0.22 &amp; 0.77\\</v>
      </c>
    </row>
    <row r="5" spans="1:36">
      <c r="A5" s="1">
        <v>2</v>
      </c>
      <c r="B5">
        <v>1238.4740150441969</v>
      </c>
      <c r="C5">
        <v>44.719974096350413</v>
      </c>
      <c r="D5">
        <v>0.52340970039367674</v>
      </c>
      <c r="E5">
        <v>8.6310779517272548E-2</v>
      </c>
      <c r="F5">
        <v>2469.2872879590291</v>
      </c>
      <c r="G5">
        <v>96.715167494385838</v>
      </c>
      <c r="H5">
        <v>1.710857439041138</v>
      </c>
      <c r="I5">
        <v>0.23998283163338199</v>
      </c>
      <c r="J5">
        <v>6766.5333369780656</v>
      </c>
      <c r="K5">
        <v>57.718373578141573</v>
      </c>
      <c r="L5">
        <v>5.3390213569005329</v>
      </c>
      <c r="M5">
        <v>0.95232556458261375</v>
      </c>
      <c r="N5">
        <v>0.81697702186783061</v>
      </c>
      <c r="O5">
        <v>6.2202987308644852E-3</v>
      </c>
      <c r="P5">
        <v>0.63507481421380407</v>
      </c>
      <c r="Q5">
        <v>1.3910879460005351E-2</v>
      </c>
      <c r="R5" s="1">
        <v>2</v>
      </c>
      <c r="S5">
        <f t="shared" ref="S5:S16" si="6">ROUND(B5, 2)</f>
        <v>1238.47</v>
      </c>
      <c r="T5">
        <f t="shared" ref="T5:T17" si="7">ROUND(C5, 2)</f>
        <v>44.72</v>
      </c>
      <c r="U5">
        <f t="shared" ref="U5:U17" si="8">ROUND(D5, 2)</f>
        <v>0.52</v>
      </c>
      <c r="V5">
        <f t="shared" ref="V5:V17" si="9">ROUND(E5, 2)</f>
        <v>0.09</v>
      </c>
      <c r="W5">
        <f t="shared" ref="W5:W17" si="10">ROUND(F5, 2)</f>
        <v>2469.29</v>
      </c>
      <c r="X5">
        <f t="shared" ref="X5:X17" si="11">ROUND(G5, 2)</f>
        <v>96.72</v>
      </c>
      <c r="Y5">
        <f t="shared" ref="Y5:Y17" si="12">ROUND(H5, 2)</f>
        <v>1.71</v>
      </c>
      <c r="Z5">
        <f t="shared" ref="Z5:Z17" si="13">ROUND(I5, 2)</f>
        <v>0.24</v>
      </c>
      <c r="AA5">
        <f t="shared" ref="AA5:AA17" si="14">ROUND(J5, 2)</f>
        <v>6766.53</v>
      </c>
      <c r="AB5">
        <f t="shared" ref="AB5:AB17" si="15">ROUND(K5, 2)</f>
        <v>57.72</v>
      </c>
      <c r="AC5">
        <f t="shared" ref="AC5:AC17" si="16">ROUND(L5, 2)</f>
        <v>5.34</v>
      </c>
      <c r="AD5">
        <f t="shared" ref="AD5:AD17" si="17">ROUND(M5, 2)</f>
        <v>0.95</v>
      </c>
      <c r="AE5">
        <f t="shared" ref="AE5:AE17" si="18">ROUND(N5, 2)</f>
        <v>0.82</v>
      </c>
      <c r="AF5">
        <f t="shared" ref="AF5:AF17" si="19">ROUND(O5, 2)</f>
        <v>0.01</v>
      </c>
      <c r="AG5">
        <f t="shared" ref="AG5:AG17" si="20">ROUND(P5, 2)</f>
        <v>0.64</v>
      </c>
      <c r="AH5">
        <f t="shared" ref="AH5:AH17" si="21">ROUND(Q5, 2)</f>
        <v>0.01</v>
      </c>
      <c r="AJ5" t="str">
        <f t="shared" ref="AJ5:AJ17" si="22">R5 &amp; $AJ$2 &amp; AA5 &amp; $AJ$2 &amp; S5 &amp; $AJ$2 &amp; W5 &amp; $AJ$2 &amp; AE5 &amp; $AJ$2 &amp; AF5 &amp; $AJ$2 &amp; AG5 &amp; $AJ$2 &amp; AH5 &amp; $AJ$2 &amp; AC5 &amp; $AJ$2 &amp; U5 &amp; $AJ$2 &amp; Y5 &amp; "\\"</f>
        <v>2 &amp; 6766.53 &amp; 1238.47 &amp; 2469.29 &amp; 0.82 &amp; 0.01 &amp; 0.64 &amp; 0.01 &amp; 5.34 &amp; 0.52 &amp; 1.71\\</v>
      </c>
    </row>
    <row r="6" spans="1:36">
      <c r="A6" s="1">
        <v>3</v>
      </c>
      <c r="B6">
        <v>2816.5303711261172</v>
      </c>
      <c r="C6">
        <v>92.002529580901012</v>
      </c>
      <c r="D6">
        <v>1.7613957802454629</v>
      </c>
      <c r="E6">
        <v>0.59373557087685791</v>
      </c>
      <c r="F6">
        <v>4902.5789365427281</v>
      </c>
      <c r="G6">
        <v>128.9390432200783</v>
      </c>
      <c r="H6">
        <v>4.6083328485488888</v>
      </c>
      <c r="I6">
        <v>1.183900296640003</v>
      </c>
      <c r="J6">
        <v>11516.4393136289</v>
      </c>
      <c r="K6">
        <v>89.698707605032808</v>
      </c>
      <c r="L6">
        <v>5.7458891550699871</v>
      </c>
      <c r="M6">
        <v>1.179474700219135</v>
      </c>
      <c r="N6">
        <v>0.75542493560462753</v>
      </c>
      <c r="O6">
        <v>8.0472169265054152E-3</v>
      </c>
      <c r="P6">
        <v>0.57429368140307135</v>
      </c>
      <c r="Q6">
        <v>1.0828660337440199E-2</v>
      </c>
      <c r="R6" s="1">
        <v>3</v>
      </c>
      <c r="S6">
        <f t="shared" si="6"/>
        <v>2816.53</v>
      </c>
      <c r="T6">
        <f t="shared" si="7"/>
        <v>92</v>
      </c>
      <c r="U6">
        <f t="shared" si="8"/>
        <v>1.76</v>
      </c>
      <c r="V6">
        <f t="shared" si="9"/>
        <v>0.59</v>
      </c>
      <c r="W6">
        <f t="shared" si="10"/>
        <v>4902.58</v>
      </c>
      <c r="X6">
        <f t="shared" si="11"/>
        <v>128.94</v>
      </c>
      <c r="Y6">
        <f t="shared" si="12"/>
        <v>4.6100000000000003</v>
      </c>
      <c r="Z6">
        <f t="shared" si="13"/>
        <v>1.18</v>
      </c>
      <c r="AA6">
        <f t="shared" si="14"/>
        <v>11516.44</v>
      </c>
      <c r="AB6">
        <f t="shared" si="15"/>
        <v>89.7</v>
      </c>
      <c r="AC6">
        <f t="shared" si="16"/>
        <v>5.75</v>
      </c>
      <c r="AD6">
        <f t="shared" si="17"/>
        <v>1.18</v>
      </c>
      <c r="AE6">
        <f t="shared" si="18"/>
        <v>0.76</v>
      </c>
      <c r="AF6">
        <f t="shared" si="19"/>
        <v>0.01</v>
      </c>
      <c r="AG6">
        <f t="shared" si="20"/>
        <v>0.56999999999999995</v>
      </c>
      <c r="AH6">
        <f t="shared" si="21"/>
        <v>0.01</v>
      </c>
      <c r="AJ6" t="str">
        <f t="shared" si="22"/>
        <v>3 &amp; 11516.44 &amp; 2816.53 &amp; 4902.58 &amp; 0.76 &amp; 0.01 &amp; 0.57 &amp; 0.01 &amp; 5.75 &amp; 1.76 &amp; 4.61\\</v>
      </c>
    </row>
    <row r="7" spans="1:36">
      <c r="A7" s="1">
        <v>4</v>
      </c>
      <c r="B7">
        <v>2561.448407973257</v>
      </c>
      <c r="C7">
        <v>134.32870824701959</v>
      </c>
      <c r="D7">
        <v>0.5469598849614461</v>
      </c>
      <c r="E7">
        <v>0.18271237619849079</v>
      </c>
      <c r="F7">
        <v>2866.443334506007</v>
      </c>
      <c r="G7">
        <v>102.0827124969981</v>
      </c>
      <c r="H7">
        <v>1.677869852383931</v>
      </c>
      <c r="I7">
        <v>0.3912291203627915</v>
      </c>
      <c r="J7">
        <v>5289.8462999561052</v>
      </c>
      <c r="K7">
        <v>49.747739109539289</v>
      </c>
      <c r="L7">
        <v>5.1403684695561731</v>
      </c>
      <c r="M7">
        <v>0.89109704928513811</v>
      </c>
      <c r="N7">
        <v>0.51573890170407455</v>
      </c>
      <c r="O7">
        <v>2.5802493516341712E-2</v>
      </c>
      <c r="P7">
        <v>0.45805699656195148</v>
      </c>
      <c r="Q7">
        <v>2.0365910291415368E-2</v>
      </c>
      <c r="R7" s="1">
        <v>4</v>
      </c>
      <c r="S7">
        <f t="shared" si="6"/>
        <v>2561.4499999999998</v>
      </c>
      <c r="T7">
        <f t="shared" si="7"/>
        <v>134.33000000000001</v>
      </c>
      <c r="U7">
        <f t="shared" si="8"/>
        <v>0.55000000000000004</v>
      </c>
      <c r="V7">
        <f t="shared" si="9"/>
        <v>0.18</v>
      </c>
      <c r="W7">
        <f t="shared" si="10"/>
        <v>2866.44</v>
      </c>
      <c r="X7">
        <f t="shared" si="11"/>
        <v>102.08</v>
      </c>
      <c r="Y7">
        <f t="shared" si="12"/>
        <v>1.68</v>
      </c>
      <c r="Z7">
        <f t="shared" si="13"/>
        <v>0.39</v>
      </c>
      <c r="AA7">
        <f t="shared" si="14"/>
        <v>5289.85</v>
      </c>
      <c r="AB7">
        <f t="shared" si="15"/>
        <v>49.75</v>
      </c>
      <c r="AC7">
        <f t="shared" si="16"/>
        <v>5.14</v>
      </c>
      <c r="AD7">
        <f t="shared" si="17"/>
        <v>0.89</v>
      </c>
      <c r="AE7">
        <f t="shared" si="18"/>
        <v>0.52</v>
      </c>
      <c r="AF7">
        <f t="shared" si="19"/>
        <v>0.03</v>
      </c>
      <c r="AG7">
        <f t="shared" si="20"/>
        <v>0.46</v>
      </c>
      <c r="AH7">
        <f t="shared" si="21"/>
        <v>0.02</v>
      </c>
      <c r="AJ7" t="str">
        <f t="shared" si="22"/>
        <v>4 &amp; 5289.85 &amp; 2561.45 &amp; 2866.44 &amp; 0.52 &amp; 0.03 &amp; 0.46 &amp; 0.02 &amp; 5.14 &amp; 0.55 &amp; 1.68\\</v>
      </c>
    </row>
    <row r="8" spans="1:36">
      <c r="A8" s="1">
        <v>5</v>
      </c>
      <c r="B8">
        <v>3949.485693482532</v>
      </c>
      <c r="C8">
        <v>212.41236888581429</v>
      </c>
      <c r="D8">
        <v>0.56452977657318115</v>
      </c>
      <c r="E8">
        <v>0.12380443862282341</v>
      </c>
      <c r="F8">
        <v>3290.9883947390381</v>
      </c>
      <c r="G8">
        <v>150.50226139623021</v>
      </c>
      <c r="H8">
        <v>1.707277178764343</v>
      </c>
      <c r="I8">
        <v>0.30681238180023462</v>
      </c>
      <c r="J8">
        <v>4811.5680854394996</v>
      </c>
      <c r="K8">
        <v>72.213634071400037</v>
      </c>
      <c r="L8">
        <v>4.946789773305257</v>
      </c>
      <c r="M8">
        <v>0.42107784977125851</v>
      </c>
      <c r="N8">
        <v>0.17915552535412721</v>
      </c>
      <c r="O8">
        <v>4.284433517691983E-2</v>
      </c>
      <c r="P8">
        <v>0.31590358679857078</v>
      </c>
      <c r="Q8">
        <v>3.2232346930026308E-2</v>
      </c>
      <c r="R8" s="1">
        <v>5</v>
      </c>
      <c r="S8">
        <f t="shared" si="6"/>
        <v>3949.49</v>
      </c>
      <c r="T8">
        <f t="shared" si="7"/>
        <v>212.41</v>
      </c>
      <c r="U8">
        <f t="shared" si="8"/>
        <v>0.56000000000000005</v>
      </c>
      <c r="V8">
        <f t="shared" si="9"/>
        <v>0.12</v>
      </c>
      <c r="W8">
        <f t="shared" si="10"/>
        <v>3290.99</v>
      </c>
      <c r="X8">
        <f t="shared" si="11"/>
        <v>150.5</v>
      </c>
      <c r="Y8">
        <f t="shared" si="12"/>
        <v>1.71</v>
      </c>
      <c r="Z8">
        <f t="shared" si="13"/>
        <v>0.31</v>
      </c>
      <c r="AA8">
        <f t="shared" si="14"/>
        <v>4811.57</v>
      </c>
      <c r="AB8">
        <f t="shared" si="15"/>
        <v>72.209999999999994</v>
      </c>
      <c r="AC8">
        <f t="shared" si="16"/>
        <v>4.95</v>
      </c>
      <c r="AD8">
        <f t="shared" si="17"/>
        <v>0.42</v>
      </c>
      <c r="AE8">
        <f t="shared" si="18"/>
        <v>0.18</v>
      </c>
      <c r="AF8">
        <f t="shared" si="19"/>
        <v>0.04</v>
      </c>
      <c r="AG8">
        <f t="shared" si="20"/>
        <v>0.32</v>
      </c>
      <c r="AH8">
        <f t="shared" si="21"/>
        <v>0.03</v>
      </c>
      <c r="AJ8" t="str">
        <f t="shared" si="22"/>
        <v>5 &amp; 4811.57 &amp; 3949.49 &amp; 3290.99 &amp; 0.18 &amp; 0.04 &amp; 0.32 &amp; 0.03 &amp; 4.95 &amp; 0.56 &amp; 1.71\\</v>
      </c>
    </row>
    <row r="9" spans="1:36">
      <c r="A9" s="1">
        <v>6</v>
      </c>
      <c r="B9">
        <v>1336.203447291078</v>
      </c>
      <c r="C9">
        <v>79.479847364822518</v>
      </c>
      <c r="D9">
        <v>0.511077880859375</v>
      </c>
      <c r="E9">
        <v>0.12743607716130179</v>
      </c>
      <c r="F9">
        <v>2534.2204482898328</v>
      </c>
      <c r="G9">
        <v>94.204371239015359</v>
      </c>
      <c r="H9">
        <v>1.6280321121215819</v>
      </c>
      <c r="I9">
        <v>0.25372495353640317</v>
      </c>
      <c r="J9">
        <v>6766.439184871263</v>
      </c>
      <c r="K9">
        <v>84.619459411343229</v>
      </c>
      <c r="L9">
        <v>5.1165294488271078</v>
      </c>
      <c r="M9">
        <v>1.0606423061986789</v>
      </c>
      <c r="N9">
        <v>0.80253711698251695</v>
      </c>
      <c r="O9">
        <v>1.1258999223557151E-2</v>
      </c>
      <c r="P9">
        <v>0.62544749793339005</v>
      </c>
      <c r="Q9">
        <v>1.390976550554001E-2</v>
      </c>
      <c r="R9" s="1">
        <v>6</v>
      </c>
      <c r="S9">
        <f t="shared" si="6"/>
        <v>1336.2</v>
      </c>
      <c r="T9">
        <f t="shared" si="7"/>
        <v>79.48</v>
      </c>
      <c r="U9">
        <f t="shared" si="8"/>
        <v>0.51</v>
      </c>
      <c r="V9">
        <f t="shared" si="9"/>
        <v>0.13</v>
      </c>
      <c r="W9">
        <f t="shared" si="10"/>
        <v>2534.2199999999998</v>
      </c>
      <c r="X9">
        <f t="shared" si="11"/>
        <v>94.2</v>
      </c>
      <c r="Y9">
        <f t="shared" si="12"/>
        <v>1.63</v>
      </c>
      <c r="Z9">
        <f t="shared" si="13"/>
        <v>0.25</v>
      </c>
      <c r="AA9">
        <f t="shared" si="14"/>
        <v>6766.44</v>
      </c>
      <c r="AB9">
        <f t="shared" si="15"/>
        <v>84.62</v>
      </c>
      <c r="AC9">
        <f t="shared" si="16"/>
        <v>5.12</v>
      </c>
      <c r="AD9">
        <f t="shared" si="17"/>
        <v>1.06</v>
      </c>
      <c r="AE9">
        <f t="shared" si="18"/>
        <v>0.8</v>
      </c>
      <c r="AF9">
        <f t="shared" si="19"/>
        <v>0.01</v>
      </c>
      <c r="AG9">
        <f t="shared" si="20"/>
        <v>0.63</v>
      </c>
      <c r="AH9">
        <f t="shared" si="21"/>
        <v>0.01</v>
      </c>
      <c r="AJ9" t="str">
        <f t="shared" si="22"/>
        <v>6 &amp; 6766.44 &amp; 1336.2 &amp; 2534.22 &amp; 0.8 &amp; 0.01 &amp; 0.63 &amp; 0.01 &amp; 5.12 &amp; 0.51 &amp; 1.63\\</v>
      </c>
    </row>
    <row r="10" spans="1:36">
      <c r="A10" s="1">
        <v>7</v>
      </c>
      <c r="B10">
        <v>1151.250804783225</v>
      </c>
      <c r="C10">
        <v>53.044918227150319</v>
      </c>
      <c r="D10">
        <v>0.55046840508778894</v>
      </c>
      <c r="E10">
        <v>9.7954936596643255E-2</v>
      </c>
      <c r="F10">
        <v>2447.9634290938202</v>
      </c>
      <c r="G10">
        <v>89.495335770775213</v>
      </c>
      <c r="H10">
        <v>1.7671988487243651</v>
      </c>
      <c r="I10">
        <v>0.22898471143167079</v>
      </c>
      <c r="J10">
        <v>6773.586659325334</v>
      </c>
      <c r="K10">
        <v>69.371546265306264</v>
      </c>
      <c r="L10">
        <v>4.7635436375935871</v>
      </c>
      <c r="M10">
        <v>0.34966205799381322</v>
      </c>
      <c r="N10">
        <v>0.83003562192536928</v>
      </c>
      <c r="O10">
        <v>7.6857370143877321E-3</v>
      </c>
      <c r="P10">
        <v>0.63858428433389769</v>
      </c>
      <c r="Q10">
        <v>1.31601653612262E-2</v>
      </c>
      <c r="R10" s="1">
        <v>7</v>
      </c>
      <c r="S10">
        <f t="shared" si="6"/>
        <v>1151.25</v>
      </c>
      <c r="T10">
        <f t="shared" si="7"/>
        <v>53.04</v>
      </c>
      <c r="U10">
        <f t="shared" si="8"/>
        <v>0.55000000000000004</v>
      </c>
      <c r="V10">
        <f t="shared" si="9"/>
        <v>0.1</v>
      </c>
      <c r="W10">
        <f t="shared" si="10"/>
        <v>2447.96</v>
      </c>
      <c r="X10">
        <f t="shared" si="11"/>
        <v>89.5</v>
      </c>
      <c r="Y10">
        <f t="shared" si="12"/>
        <v>1.77</v>
      </c>
      <c r="Z10">
        <f t="shared" si="13"/>
        <v>0.23</v>
      </c>
      <c r="AA10">
        <f t="shared" si="14"/>
        <v>6773.59</v>
      </c>
      <c r="AB10">
        <f t="shared" si="15"/>
        <v>69.37</v>
      </c>
      <c r="AC10">
        <f t="shared" si="16"/>
        <v>4.76</v>
      </c>
      <c r="AD10">
        <f t="shared" si="17"/>
        <v>0.35</v>
      </c>
      <c r="AE10">
        <f t="shared" si="18"/>
        <v>0.83</v>
      </c>
      <c r="AF10">
        <f t="shared" si="19"/>
        <v>0.01</v>
      </c>
      <c r="AG10">
        <f t="shared" si="20"/>
        <v>0.64</v>
      </c>
      <c r="AH10">
        <f t="shared" si="21"/>
        <v>0.01</v>
      </c>
      <c r="AJ10" t="str">
        <f t="shared" si="22"/>
        <v>7 &amp; 6773.59 &amp; 1151.25 &amp; 2447.96 &amp; 0.83 &amp; 0.01 &amp; 0.64 &amp; 0.01 &amp; 4.76 &amp; 0.55 &amp; 1.77\\</v>
      </c>
    </row>
    <row r="11" spans="1:36">
      <c r="A11" s="1" t="s">
        <v>11</v>
      </c>
      <c r="B11">
        <v>108.7918676591936</v>
      </c>
      <c r="C11">
        <v>21.281927320899531</v>
      </c>
      <c r="D11">
        <v>3.5762484868367507E-2</v>
      </c>
      <c r="E11">
        <v>1.350199062843371E-2</v>
      </c>
      <c r="F11">
        <v>231.1766654246299</v>
      </c>
      <c r="G11">
        <v>21.544236490203161</v>
      </c>
      <c r="H11">
        <v>0.11419983704884849</v>
      </c>
      <c r="I11">
        <v>5.4498435382016368E-2</v>
      </c>
      <c r="J11">
        <v>727.02386550461176</v>
      </c>
      <c r="K11">
        <v>21.324637273833972</v>
      </c>
      <c r="L11">
        <v>1.478520878156026</v>
      </c>
      <c r="M11">
        <v>0.27313586400186479</v>
      </c>
      <c r="N11">
        <v>0.85008589955475045</v>
      </c>
      <c r="O11">
        <v>3.0865958293186141E-2</v>
      </c>
      <c r="P11">
        <v>0.68182593924954493</v>
      </c>
      <c r="Q11">
        <v>3.03383905673048E-2</v>
      </c>
      <c r="R11" s="1" t="s">
        <v>11</v>
      </c>
      <c r="S11">
        <f t="shared" si="6"/>
        <v>108.79</v>
      </c>
      <c r="T11">
        <f t="shared" si="7"/>
        <v>21.28</v>
      </c>
      <c r="U11">
        <f t="shared" si="8"/>
        <v>0.04</v>
      </c>
      <c r="V11">
        <f t="shared" si="9"/>
        <v>0.01</v>
      </c>
      <c r="W11">
        <f t="shared" si="10"/>
        <v>231.18</v>
      </c>
      <c r="X11">
        <f t="shared" si="11"/>
        <v>21.54</v>
      </c>
      <c r="Y11">
        <f t="shared" si="12"/>
        <v>0.11</v>
      </c>
      <c r="Z11">
        <f t="shared" si="13"/>
        <v>0.05</v>
      </c>
      <c r="AA11">
        <f t="shared" si="14"/>
        <v>727.02</v>
      </c>
      <c r="AB11">
        <f t="shared" si="15"/>
        <v>21.32</v>
      </c>
      <c r="AC11">
        <f t="shared" si="16"/>
        <v>1.48</v>
      </c>
      <c r="AD11">
        <f t="shared" si="17"/>
        <v>0.27</v>
      </c>
      <c r="AE11">
        <f t="shared" si="18"/>
        <v>0.85</v>
      </c>
      <c r="AF11">
        <f t="shared" si="19"/>
        <v>0.03</v>
      </c>
      <c r="AG11">
        <f t="shared" si="20"/>
        <v>0.68</v>
      </c>
      <c r="AH11">
        <f t="shared" si="21"/>
        <v>0.03</v>
      </c>
      <c r="AJ11" t="str">
        <f t="shared" si="22"/>
        <v>1_np &amp; 727.02 &amp; 108.79 &amp; 231.18 &amp; 0.85 &amp; 0.03 &amp; 0.68 &amp; 0.03 &amp; 1.48 &amp; 0.04 &amp; 0.11\\</v>
      </c>
    </row>
    <row r="12" spans="1:36">
      <c r="A12" s="1" t="s">
        <v>12</v>
      </c>
      <c r="B12">
        <v>217.89346987885389</v>
      </c>
      <c r="C12">
        <v>23.094177910974619</v>
      </c>
      <c r="D12">
        <v>6.7838684717814124E-2</v>
      </c>
      <c r="E12">
        <v>1.91854407179976E-2</v>
      </c>
      <c r="F12">
        <v>449.34973209653668</v>
      </c>
      <c r="G12">
        <v>34.856847542309907</v>
      </c>
      <c r="H12">
        <v>0.21797184149424231</v>
      </c>
      <c r="I12">
        <v>8.2337190032851004E-2</v>
      </c>
      <c r="J12">
        <v>1318.9018057118831</v>
      </c>
      <c r="K12">
        <v>30.984777164035901</v>
      </c>
      <c r="L12">
        <v>1.5636596600214641</v>
      </c>
      <c r="M12">
        <v>0.26763468183344191</v>
      </c>
      <c r="N12">
        <v>0.8346699972166427</v>
      </c>
      <c r="O12">
        <v>1.83449847727216E-2</v>
      </c>
      <c r="P12">
        <v>0.65906285614011773</v>
      </c>
      <c r="Q12">
        <v>2.8413668263215869E-2</v>
      </c>
      <c r="R12" s="1" t="s">
        <v>12</v>
      </c>
      <c r="S12">
        <f t="shared" si="6"/>
        <v>217.89</v>
      </c>
      <c r="T12">
        <f t="shared" si="7"/>
        <v>23.09</v>
      </c>
      <c r="U12">
        <f t="shared" si="8"/>
        <v>7.0000000000000007E-2</v>
      </c>
      <c r="V12">
        <f t="shared" si="9"/>
        <v>0.02</v>
      </c>
      <c r="W12">
        <f t="shared" si="10"/>
        <v>449.35</v>
      </c>
      <c r="X12">
        <f t="shared" si="11"/>
        <v>34.86</v>
      </c>
      <c r="Y12">
        <f t="shared" si="12"/>
        <v>0.22</v>
      </c>
      <c r="Z12">
        <f t="shared" si="13"/>
        <v>0.08</v>
      </c>
      <c r="AA12">
        <f t="shared" si="14"/>
        <v>1318.9</v>
      </c>
      <c r="AB12">
        <f t="shared" si="15"/>
        <v>30.98</v>
      </c>
      <c r="AC12">
        <f t="shared" si="16"/>
        <v>1.56</v>
      </c>
      <c r="AD12">
        <f t="shared" si="17"/>
        <v>0.27</v>
      </c>
      <c r="AE12">
        <f t="shared" si="18"/>
        <v>0.83</v>
      </c>
      <c r="AF12">
        <f t="shared" si="19"/>
        <v>0.02</v>
      </c>
      <c r="AG12">
        <f t="shared" si="20"/>
        <v>0.66</v>
      </c>
      <c r="AH12">
        <f t="shared" si="21"/>
        <v>0.03</v>
      </c>
      <c r="AJ12" t="str">
        <f t="shared" si="22"/>
        <v>2_np &amp; 1318.9 &amp; 217.89 &amp; 449.35 &amp; 0.83 &amp; 0.02 &amp; 0.66 &amp; 0.03 &amp; 1.56 &amp; 0.07 &amp; 0.22\\</v>
      </c>
    </row>
    <row r="13" spans="1:36">
      <c r="A13" s="1" t="s">
        <v>13</v>
      </c>
      <c r="B13">
        <v>329.02902371796449</v>
      </c>
      <c r="C13">
        <v>20.86298000180885</v>
      </c>
      <c r="D13">
        <v>0.1010015885035197</v>
      </c>
      <c r="E13">
        <v>2.3158590242647908E-2</v>
      </c>
      <c r="F13">
        <v>675.97565636404011</v>
      </c>
      <c r="G13">
        <v>29.951529082038249</v>
      </c>
      <c r="H13">
        <v>0.31206117471059158</v>
      </c>
      <c r="I13">
        <v>6.9675375817581417E-2</v>
      </c>
      <c r="J13">
        <v>1843.5821978324091</v>
      </c>
      <c r="K13">
        <v>43.482975893759821</v>
      </c>
      <c r="L13">
        <v>1.6276793003082271</v>
      </c>
      <c r="M13">
        <v>0.26202904631072871</v>
      </c>
      <c r="N13">
        <v>0.82136809977129654</v>
      </c>
      <c r="O13">
        <v>1.3034531702276111E-2</v>
      </c>
      <c r="P13">
        <v>0.63317481338625492</v>
      </c>
      <c r="Q13">
        <v>1.7794404724444341E-2</v>
      </c>
      <c r="R13" s="1" t="s">
        <v>13</v>
      </c>
      <c r="S13">
        <f t="shared" si="6"/>
        <v>329.03</v>
      </c>
      <c r="T13">
        <f t="shared" si="7"/>
        <v>20.86</v>
      </c>
      <c r="U13">
        <f t="shared" si="8"/>
        <v>0.1</v>
      </c>
      <c r="V13">
        <f t="shared" si="9"/>
        <v>0.02</v>
      </c>
      <c r="W13">
        <f t="shared" si="10"/>
        <v>675.98</v>
      </c>
      <c r="X13">
        <f t="shared" si="11"/>
        <v>29.95</v>
      </c>
      <c r="Y13">
        <f t="shared" si="12"/>
        <v>0.31</v>
      </c>
      <c r="Z13">
        <f t="shared" si="13"/>
        <v>7.0000000000000007E-2</v>
      </c>
      <c r="AA13">
        <f t="shared" si="14"/>
        <v>1843.58</v>
      </c>
      <c r="AB13">
        <f t="shared" si="15"/>
        <v>43.48</v>
      </c>
      <c r="AC13">
        <f t="shared" si="16"/>
        <v>1.63</v>
      </c>
      <c r="AD13">
        <f t="shared" si="17"/>
        <v>0.26</v>
      </c>
      <c r="AE13">
        <f t="shared" si="18"/>
        <v>0.82</v>
      </c>
      <c r="AF13">
        <f t="shared" si="19"/>
        <v>0.01</v>
      </c>
      <c r="AG13">
        <f t="shared" si="20"/>
        <v>0.63</v>
      </c>
      <c r="AH13">
        <f t="shared" si="21"/>
        <v>0.02</v>
      </c>
      <c r="AJ13" t="str">
        <f t="shared" si="22"/>
        <v>3_np &amp; 1843.58 &amp; 329.03 &amp; 675.98 &amp; 0.82 &amp; 0.01 &amp; 0.63 &amp; 0.02 &amp; 1.63 &amp; 0.1 &amp; 0.31\\</v>
      </c>
    </row>
    <row r="14" spans="1:36">
      <c r="A14" s="1" t="s">
        <v>14</v>
      </c>
      <c r="B14">
        <v>544.978173360396</v>
      </c>
      <c r="C14">
        <v>80.797574088927163</v>
      </c>
      <c r="D14">
        <v>7.6197910308837893E-2</v>
      </c>
      <c r="E14">
        <v>2.7884273934673881E-2</v>
      </c>
      <c r="F14">
        <v>540.73704756724135</v>
      </c>
      <c r="G14">
        <v>44.849293828295828</v>
      </c>
      <c r="H14">
        <v>0.2237541834513346</v>
      </c>
      <c r="I14">
        <v>7.1479355595965993E-2</v>
      </c>
      <c r="J14">
        <v>1101.539091138922</v>
      </c>
      <c r="K14">
        <v>23.092924184578411</v>
      </c>
      <c r="L14">
        <v>1.5211956659952801</v>
      </c>
      <c r="M14">
        <v>0.18777782507235821</v>
      </c>
      <c r="N14">
        <v>0.50462563111443659</v>
      </c>
      <c r="O14">
        <v>7.7286542693254398E-2</v>
      </c>
      <c r="P14">
        <v>0.50891722990299038</v>
      </c>
      <c r="Q14">
        <v>4.1823812002922213E-2</v>
      </c>
      <c r="R14" s="1" t="s">
        <v>14</v>
      </c>
      <c r="S14">
        <f t="shared" si="6"/>
        <v>544.98</v>
      </c>
      <c r="T14">
        <f t="shared" si="7"/>
        <v>80.8</v>
      </c>
      <c r="U14">
        <f t="shared" si="8"/>
        <v>0.08</v>
      </c>
      <c r="V14">
        <f t="shared" si="9"/>
        <v>0.03</v>
      </c>
      <c r="W14">
        <f t="shared" si="10"/>
        <v>540.74</v>
      </c>
      <c r="X14">
        <f t="shared" si="11"/>
        <v>44.85</v>
      </c>
      <c r="Y14">
        <f t="shared" si="12"/>
        <v>0.22</v>
      </c>
      <c r="Z14">
        <f t="shared" si="13"/>
        <v>7.0000000000000007E-2</v>
      </c>
      <c r="AA14">
        <f t="shared" si="14"/>
        <v>1101.54</v>
      </c>
      <c r="AB14">
        <f t="shared" si="15"/>
        <v>23.09</v>
      </c>
      <c r="AC14">
        <f t="shared" si="16"/>
        <v>1.52</v>
      </c>
      <c r="AD14">
        <f t="shared" si="17"/>
        <v>0.19</v>
      </c>
      <c r="AE14">
        <f t="shared" si="18"/>
        <v>0.5</v>
      </c>
      <c r="AF14">
        <f t="shared" si="19"/>
        <v>0.08</v>
      </c>
      <c r="AG14">
        <f t="shared" si="20"/>
        <v>0.51</v>
      </c>
      <c r="AH14">
        <f t="shared" si="21"/>
        <v>0.04</v>
      </c>
      <c r="AJ14" t="str">
        <f t="shared" si="22"/>
        <v>4_np &amp; 1101.54 &amp; 544.98 &amp; 540.74 &amp; 0.5 &amp; 0.08 &amp; 0.51 &amp; 0.04 &amp; 1.52 &amp; 0.08 &amp; 0.22\\</v>
      </c>
    </row>
    <row r="15" spans="1:36">
      <c r="A15" s="1" t="s">
        <v>15</v>
      </c>
      <c r="B15">
        <v>877.12196112053618</v>
      </c>
      <c r="C15">
        <v>105.64942271048901</v>
      </c>
      <c r="D15">
        <v>6.4602216084798172E-2</v>
      </c>
      <c r="E15">
        <v>1.5690835325221829E-2</v>
      </c>
      <c r="F15">
        <v>641.35730959888883</v>
      </c>
      <c r="G15">
        <v>70.538411351890304</v>
      </c>
      <c r="H15">
        <v>0.19644193649291991</v>
      </c>
      <c r="I15">
        <v>4.4315463709640512E-2</v>
      </c>
      <c r="J15">
        <v>1218.758194491026</v>
      </c>
      <c r="K15">
        <v>31.147320874947869</v>
      </c>
      <c r="L15">
        <v>1.377817447980245</v>
      </c>
      <c r="M15">
        <v>0.1951105183733528</v>
      </c>
      <c r="N15">
        <v>0.27913300150426479</v>
      </c>
      <c r="O15">
        <v>9.3516382262874675E-2</v>
      </c>
      <c r="P15">
        <v>0.47293372260549971</v>
      </c>
      <c r="Q15">
        <v>6.3947764517288813E-2</v>
      </c>
      <c r="R15" s="1" t="s">
        <v>15</v>
      </c>
      <c r="S15">
        <f t="shared" si="6"/>
        <v>877.12</v>
      </c>
      <c r="T15">
        <f t="shared" si="7"/>
        <v>105.65</v>
      </c>
      <c r="U15">
        <f t="shared" si="8"/>
        <v>0.06</v>
      </c>
      <c r="V15">
        <f t="shared" si="9"/>
        <v>0.02</v>
      </c>
      <c r="W15">
        <f t="shared" si="10"/>
        <v>641.36</v>
      </c>
      <c r="X15">
        <f t="shared" si="11"/>
        <v>70.540000000000006</v>
      </c>
      <c r="Y15">
        <f t="shared" si="12"/>
        <v>0.2</v>
      </c>
      <c r="Z15">
        <f t="shared" si="13"/>
        <v>0.04</v>
      </c>
      <c r="AA15">
        <f t="shared" si="14"/>
        <v>1218.76</v>
      </c>
      <c r="AB15">
        <f t="shared" si="15"/>
        <v>31.15</v>
      </c>
      <c r="AC15">
        <f t="shared" si="16"/>
        <v>1.38</v>
      </c>
      <c r="AD15">
        <f t="shared" si="17"/>
        <v>0.2</v>
      </c>
      <c r="AE15">
        <f t="shared" si="18"/>
        <v>0.28000000000000003</v>
      </c>
      <c r="AF15">
        <f t="shared" si="19"/>
        <v>0.09</v>
      </c>
      <c r="AG15">
        <f t="shared" si="20"/>
        <v>0.47</v>
      </c>
      <c r="AH15">
        <f t="shared" si="21"/>
        <v>0.06</v>
      </c>
      <c r="AJ15" t="str">
        <f t="shared" si="22"/>
        <v>5_np &amp; 1218.76 &amp; 877.12 &amp; 641.36 &amp; 0.28 &amp; 0.09 &amp; 0.47 &amp; 0.06 &amp; 1.38 &amp; 0.06 &amp; 0.2\\</v>
      </c>
    </row>
    <row r="16" spans="1:36">
      <c r="A16" s="1" t="s">
        <v>16</v>
      </c>
      <c r="B16">
        <v>240.115745330978</v>
      </c>
      <c r="C16">
        <v>33.634512772070487</v>
      </c>
      <c r="D16">
        <v>6.2357465426127107E-2</v>
      </c>
      <c r="E16">
        <v>1.539473057559876E-2</v>
      </c>
      <c r="F16">
        <v>455.76695398370958</v>
      </c>
      <c r="G16">
        <v>45.246873640502741</v>
      </c>
      <c r="H16">
        <v>0.18768006960550951</v>
      </c>
      <c r="I16">
        <v>5.6081805644587528E-2</v>
      </c>
      <c r="J16">
        <v>1315.2612765880269</v>
      </c>
      <c r="K16">
        <v>28.10906831249406</v>
      </c>
      <c r="L16">
        <v>1.5872170845667519</v>
      </c>
      <c r="M16">
        <v>0.28950249275026441</v>
      </c>
      <c r="N16">
        <v>0.81739837120781356</v>
      </c>
      <c r="O16">
        <v>2.524831539715609E-2</v>
      </c>
      <c r="P16">
        <v>0.65361086812399494</v>
      </c>
      <c r="Q16">
        <v>3.205374179056495E-2</v>
      </c>
      <c r="R16" s="1" t="s">
        <v>16</v>
      </c>
      <c r="S16">
        <f t="shared" si="6"/>
        <v>240.12</v>
      </c>
      <c r="T16">
        <f t="shared" si="7"/>
        <v>33.630000000000003</v>
      </c>
      <c r="U16">
        <f t="shared" si="8"/>
        <v>0.06</v>
      </c>
      <c r="V16">
        <f t="shared" si="9"/>
        <v>0.02</v>
      </c>
      <c r="W16">
        <f t="shared" si="10"/>
        <v>455.77</v>
      </c>
      <c r="X16">
        <f t="shared" si="11"/>
        <v>45.25</v>
      </c>
      <c r="Y16">
        <f t="shared" si="12"/>
        <v>0.19</v>
      </c>
      <c r="Z16">
        <f t="shared" si="13"/>
        <v>0.06</v>
      </c>
      <c r="AA16">
        <f t="shared" si="14"/>
        <v>1315.26</v>
      </c>
      <c r="AB16">
        <f t="shared" si="15"/>
        <v>28.11</v>
      </c>
      <c r="AC16">
        <f t="shared" si="16"/>
        <v>1.59</v>
      </c>
      <c r="AD16">
        <f t="shared" si="17"/>
        <v>0.28999999999999998</v>
      </c>
      <c r="AE16">
        <f t="shared" si="18"/>
        <v>0.82</v>
      </c>
      <c r="AF16">
        <f t="shared" si="19"/>
        <v>0.03</v>
      </c>
      <c r="AG16">
        <f t="shared" si="20"/>
        <v>0.65</v>
      </c>
      <c r="AH16">
        <f t="shared" si="21"/>
        <v>0.03</v>
      </c>
      <c r="AJ16" t="str">
        <f t="shared" si="22"/>
        <v>6_np &amp; 1315.26 &amp; 240.12 &amp; 455.77 &amp; 0.82 &amp; 0.03 &amp; 0.65 &amp; 0.03 &amp; 1.59 &amp; 0.06 &amp; 0.19\\</v>
      </c>
    </row>
    <row r="17" spans="1:36">
      <c r="A17" s="1" t="s">
        <v>17</v>
      </c>
      <c r="B17">
        <v>210.32004259476329</v>
      </c>
      <c r="C17">
        <v>23.136336389413259</v>
      </c>
      <c r="D17">
        <v>0.12857805093129479</v>
      </c>
      <c r="E17">
        <v>9.0276317856687605E-2</v>
      </c>
      <c r="F17">
        <v>444.96774280287832</v>
      </c>
      <c r="G17">
        <v>35.550708332895901</v>
      </c>
      <c r="H17">
        <v>0.3463596741358439</v>
      </c>
      <c r="I17">
        <v>0.16064703216467191</v>
      </c>
      <c r="J17">
        <v>1315.1800992673759</v>
      </c>
      <c r="K17">
        <v>25.07897375804361</v>
      </c>
      <c r="L17">
        <v>2.0981110970179242</v>
      </c>
      <c r="M17">
        <v>0.61057623779398085</v>
      </c>
      <c r="N17">
        <v>0.83996006744776963</v>
      </c>
      <c r="O17">
        <v>1.846555503700081E-2</v>
      </c>
      <c r="P17">
        <v>0.66167225168593824</v>
      </c>
      <c r="Q17">
        <v>2.6157157335187319E-2</v>
      </c>
      <c r="R17" s="1" t="s">
        <v>17</v>
      </c>
      <c r="S17">
        <f>ROUND(B17, 2)</f>
        <v>210.32</v>
      </c>
      <c r="T17">
        <f t="shared" si="7"/>
        <v>23.14</v>
      </c>
      <c r="U17">
        <f t="shared" si="8"/>
        <v>0.13</v>
      </c>
      <c r="V17">
        <f t="shared" si="9"/>
        <v>0.09</v>
      </c>
      <c r="W17">
        <f t="shared" si="10"/>
        <v>444.97</v>
      </c>
      <c r="X17">
        <f t="shared" si="11"/>
        <v>35.549999999999997</v>
      </c>
      <c r="Y17">
        <f t="shared" si="12"/>
        <v>0.35</v>
      </c>
      <c r="Z17">
        <f t="shared" si="13"/>
        <v>0.16</v>
      </c>
      <c r="AA17">
        <f t="shared" si="14"/>
        <v>1315.18</v>
      </c>
      <c r="AB17">
        <f t="shared" si="15"/>
        <v>25.08</v>
      </c>
      <c r="AC17">
        <f t="shared" si="16"/>
        <v>2.1</v>
      </c>
      <c r="AD17">
        <f t="shared" si="17"/>
        <v>0.61</v>
      </c>
      <c r="AE17">
        <f t="shared" si="18"/>
        <v>0.84</v>
      </c>
      <c r="AF17">
        <f t="shared" si="19"/>
        <v>0.02</v>
      </c>
      <c r="AG17">
        <f t="shared" si="20"/>
        <v>0.66</v>
      </c>
      <c r="AH17">
        <f t="shared" si="21"/>
        <v>0.03</v>
      </c>
      <c r="AJ17" t="str">
        <f t="shared" si="22"/>
        <v>7_np &amp; 1315.18 &amp; 210.32 &amp; 444.97 &amp; 0.84 &amp; 0.02 &amp; 0.66 &amp; 0.03 &amp; 2.1 &amp; 0.13 &amp; 0.35\\</v>
      </c>
    </row>
  </sheetData>
  <mergeCells count="16">
    <mergeCell ref="S1:T1"/>
    <mergeCell ref="U1:V1"/>
    <mergeCell ref="W1:X1"/>
    <mergeCell ref="Y1:Z1"/>
    <mergeCell ref="AA1:AB1"/>
    <mergeCell ref="AC1:AD1"/>
    <mergeCell ref="AE1:AF1"/>
    <mergeCell ref="AG1:AH1"/>
    <mergeCell ref="P1:Q1"/>
    <mergeCell ref="B1:C1"/>
    <mergeCell ref="F1:G1"/>
    <mergeCell ref="N1:O1"/>
    <mergeCell ref="D1:E1"/>
    <mergeCell ref="H1:I1"/>
    <mergeCell ref="L1:M1"/>
    <mergeCell ref="J1:K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黃林鈞 Lin Chun,Huang</cp:lastModifiedBy>
  <dcterms:created xsi:type="dcterms:W3CDTF">2025-05-24T04:41:30Z</dcterms:created>
  <dcterms:modified xsi:type="dcterms:W3CDTF">2025-05-24T05:08:13Z</dcterms:modified>
</cp:coreProperties>
</file>