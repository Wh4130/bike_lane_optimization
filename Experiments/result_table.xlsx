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huanglinchun/Desktop/NTU/113_2/Operations Research/OR_final_project/Experiments/"/>
    </mc:Choice>
  </mc:AlternateContent>
  <xr:revisionPtr revIDLastSave="0" documentId="13_ncr:1_{CBE805E7-73D3-C542-97BB-C0AC70E96E6A}" xr6:coauthVersionLast="47" xr6:coauthVersionMax="47" xr10:uidLastSave="{00000000-0000-0000-0000-000000000000}"/>
  <bookViews>
    <workbookView xWindow="0" yWindow="500" windowWidth="28800" windowHeight="16500" xr2:uid="{00000000-000D-0000-FFFF-FFFF00000000}"/>
  </bookViews>
  <sheets>
    <sheet name="Sheet1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1" l="1"/>
  <c r="S22" i="1"/>
  <c r="S23" i="1"/>
  <c r="S24" i="1"/>
  <c r="S25" i="1"/>
  <c r="S26" i="1"/>
  <c r="S27" i="1"/>
  <c r="S28" i="1"/>
  <c r="S29" i="1"/>
  <c r="S30" i="1"/>
  <c r="S31" i="1"/>
  <c r="S32" i="1"/>
  <c r="S33" i="1"/>
  <c r="S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20" i="1"/>
</calcChain>
</file>

<file path=xl/sharedStrings.xml><?xml version="1.0" encoding="utf-8"?>
<sst xmlns="http://schemas.openxmlformats.org/spreadsheetml/2006/main" count="63" uniqueCount="18">
  <si>
    <t>naiveObjVal</t>
  </si>
  <si>
    <t>naiveTime</t>
  </si>
  <si>
    <t>heuObjVal</t>
  </si>
  <si>
    <t>heuTime</t>
  </si>
  <si>
    <t>solverObjVal</t>
  </si>
  <si>
    <t>solverTime</t>
  </si>
  <si>
    <t>optGapNaive</t>
  </si>
  <si>
    <t>optGapHeu</t>
  </si>
  <si>
    <t>mean</t>
  </si>
  <si>
    <t>std</t>
  </si>
  <si>
    <t>scenarioID</t>
  </si>
  <si>
    <t>1_np</t>
  </si>
  <si>
    <t>2_np</t>
  </si>
  <si>
    <t>3_np</t>
  </si>
  <si>
    <t>4_np</t>
  </si>
  <si>
    <t>5_np</t>
  </si>
  <si>
    <t>6_np</t>
  </si>
  <si>
    <t>7_np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</si>
</sst>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3"/>
  <sheetViews>
    <sheetView tabSelected="1" workbookViewId="0">
      <selection activeCell="S20" sqref="S20:S33"/>
    </sheetView>
  </sheetViews>
  <sheetFormatPr baseColWidth="10" defaultColWidth="9" defaultRowHeight="14"/>
  <sheetData>
    <row r="1" spans="1:17">
      <c r="A1" s="1"/>
      <c r="B1" s="2" t="s">
        <v>0</v>
      </c>
      <c r="C1" s="2"/>
      <c r="D1" s="2" t="s">
        <v>1</v>
      </c>
      <c r="E1" s="2"/>
      <c r="F1" s="2" t="s">
        <v>2</v>
      </c>
      <c r="G1" s="2"/>
      <c r="H1" s="2" t="s">
        <v>3</v>
      </c>
      <c r="I1" s="2"/>
      <c r="J1" s="2" t="s">
        <v>4</v>
      </c>
      <c r="K1" s="2"/>
      <c r="L1" s="2" t="s">
        <v>5</v>
      </c>
      <c r="M1" s="2"/>
      <c r="N1" s="2" t="s">
        <v>6</v>
      </c>
      <c r="O1" s="2"/>
      <c r="P1" s="2" t="s">
        <v>7</v>
      </c>
      <c r="Q1" s="2"/>
    </row>
    <row r="2" spans="1:17">
      <c r="A2" s="1"/>
      <c r="B2" s="1" t="s">
        <v>8</v>
      </c>
      <c r="C2" s="1" t="s">
        <v>9</v>
      </c>
      <c r="D2" s="1" t="s">
        <v>8</v>
      </c>
      <c r="E2" s="1" t="s">
        <v>9</v>
      </c>
      <c r="F2" s="1" t="s">
        <v>8</v>
      </c>
      <c r="G2" s="1" t="s">
        <v>9</v>
      </c>
      <c r="H2" s="1" t="s">
        <v>8</v>
      </c>
      <c r="I2" s="1" t="s">
        <v>9</v>
      </c>
      <c r="J2" s="1" t="s">
        <v>8</v>
      </c>
      <c r="K2" s="1" t="s">
        <v>9</v>
      </c>
      <c r="L2" s="1" t="s">
        <v>8</v>
      </c>
      <c r="M2" s="1" t="s">
        <v>9</v>
      </c>
      <c r="N2" s="1" t="s">
        <v>8</v>
      </c>
      <c r="O2" s="1" t="s">
        <v>9</v>
      </c>
      <c r="P2" s="1" t="s">
        <v>8</v>
      </c>
      <c r="Q2" s="1" t="s">
        <v>9</v>
      </c>
    </row>
    <row r="3" spans="1:17">
      <c r="A3" s="1" t="s">
        <v>10</v>
      </c>
    </row>
    <row r="4" spans="1:17">
      <c r="A4" s="1">
        <v>1</v>
      </c>
      <c r="B4">
        <v>580.59029453730068</v>
      </c>
      <c r="C4">
        <v>36.563110733606791</v>
      </c>
      <c r="D4">
        <v>0.47355575561523439</v>
      </c>
      <c r="E4">
        <v>0.14420541501241471</v>
      </c>
      <c r="F4">
        <v>1246.89626613571</v>
      </c>
      <c r="G4">
        <v>55.914029973976007</v>
      </c>
      <c r="H4">
        <v>4.9399904966354367</v>
      </c>
      <c r="I4">
        <v>0.84809147684587927</v>
      </c>
      <c r="J4">
        <v>3724.107634006401</v>
      </c>
      <c r="K4">
        <v>52.570543079780769</v>
      </c>
      <c r="L4">
        <v>5.9126710732777914</v>
      </c>
      <c r="M4">
        <v>0.92663196227466516</v>
      </c>
      <c r="N4">
        <v>0.84405676260976747</v>
      </c>
      <c r="O4">
        <v>1.0299508493787111E-2</v>
      </c>
      <c r="P4">
        <v>0.66515677260711048</v>
      </c>
      <c r="Q4">
        <v>1.485264214682791E-2</v>
      </c>
    </row>
    <row r="5" spans="1:17">
      <c r="A5" s="1">
        <v>2</v>
      </c>
      <c r="B5">
        <v>1240.8445905449739</v>
      </c>
      <c r="C5">
        <v>58.864454210299272</v>
      </c>
      <c r="D5">
        <v>1.205283864339193</v>
      </c>
      <c r="E5">
        <v>0.24477666777377821</v>
      </c>
      <c r="F5">
        <v>2428.02852613813</v>
      </c>
      <c r="G5">
        <v>83.551830442776804</v>
      </c>
      <c r="H5">
        <v>13.944222323099771</v>
      </c>
      <c r="I5">
        <v>1.836783852050228</v>
      </c>
      <c r="J5">
        <v>6545.5758536329231</v>
      </c>
      <c r="K5">
        <v>77.296600294341758</v>
      </c>
      <c r="L5">
        <v>4.9944796005884804</v>
      </c>
      <c r="M5">
        <v>0.45539031777206967</v>
      </c>
      <c r="N5">
        <v>0.81043099189928725</v>
      </c>
      <c r="O5">
        <v>8.6567476451489076E-3</v>
      </c>
      <c r="P5">
        <v>0.62899359813652744</v>
      </c>
      <c r="Q5">
        <v>1.3903182975960649E-2</v>
      </c>
    </row>
    <row r="6" spans="1:17">
      <c r="A6" s="1">
        <v>3</v>
      </c>
      <c r="B6">
        <v>2854.852644128664</v>
      </c>
      <c r="C6">
        <v>106.47642239296241</v>
      </c>
      <c r="D6">
        <v>5.3962526480356852</v>
      </c>
      <c r="E6">
        <v>0.57693899047950392</v>
      </c>
      <c r="F6">
        <v>4817.3618922558389</v>
      </c>
      <c r="G6">
        <v>120.18610193891941</v>
      </c>
      <c r="H6">
        <v>42.902144598960867</v>
      </c>
      <c r="I6">
        <v>3.827064947256865</v>
      </c>
      <c r="J6">
        <v>10790.3220514899</v>
      </c>
      <c r="K6">
        <v>82.995316550999632</v>
      </c>
      <c r="L6">
        <v>4.6964829842249554</v>
      </c>
      <c r="M6">
        <v>0.3803544228836459</v>
      </c>
      <c r="N6">
        <v>0.7354450278957142</v>
      </c>
      <c r="O6">
        <v>9.0753076063334274E-3</v>
      </c>
      <c r="P6">
        <v>0.55355170401063114</v>
      </c>
      <c r="Q6">
        <v>1.0442489523500379E-2</v>
      </c>
    </row>
    <row r="7" spans="1:17">
      <c r="A7" s="1">
        <v>4</v>
      </c>
      <c r="B7">
        <v>2565.4003906975772</v>
      </c>
      <c r="C7">
        <v>96.788271755311882</v>
      </c>
      <c r="D7">
        <v>1.113492902119954</v>
      </c>
      <c r="E7">
        <v>0.17038328486961071</v>
      </c>
      <c r="F7">
        <v>2823.5242752317808</v>
      </c>
      <c r="G7">
        <v>98.566674680094607</v>
      </c>
      <c r="H7">
        <v>12.83792409102122</v>
      </c>
      <c r="I7">
        <v>1.376391317434555</v>
      </c>
      <c r="J7">
        <v>5161.3752296848979</v>
      </c>
      <c r="K7">
        <v>60.849030873943249</v>
      </c>
      <c r="L7">
        <v>5.0967943032582603</v>
      </c>
      <c r="M7">
        <v>0.29509636111715659</v>
      </c>
      <c r="N7">
        <v>0.50287089145380048</v>
      </c>
      <c r="O7">
        <v>2.02930377181911E-2</v>
      </c>
      <c r="P7">
        <v>0.45295627531935301</v>
      </c>
      <c r="Q7">
        <v>1.7977135803178741E-2</v>
      </c>
    </row>
    <row r="8" spans="1:17">
      <c r="A8" s="1">
        <v>5</v>
      </c>
      <c r="B8">
        <v>3879.8512901486069</v>
      </c>
      <c r="C8">
        <v>221.25149154942511</v>
      </c>
      <c r="D8">
        <v>1.1160266876220699</v>
      </c>
      <c r="E8">
        <v>0.16682644282072201</v>
      </c>
      <c r="F8">
        <v>3293.483044170639</v>
      </c>
      <c r="G8">
        <v>142.50983412625999</v>
      </c>
      <c r="H8">
        <v>13.16769336064656</v>
      </c>
      <c r="I8">
        <v>1.3595876363791779</v>
      </c>
      <c r="J8">
        <v>4835.9934583182348</v>
      </c>
      <c r="K8">
        <v>80.179018542518435</v>
      </c>
      <c r="L8">
        <v>4.6386441230773929</v>
      </c>
      <c r="M8">
        <v>0.27454978765614718</v>
      </c>
      <c r="N8">
        <v>0.1979042337289949</v>
      </c>
      <c r="O8">
        <v>3.9990681513838743E-2</v>
      </c>
      <c r="P8">
        <v>0.31884732265658822</v>
      </c>
      <c r="Q8">
        <v>3.0133737329360429E-2</v>
      </c>
    </row>
    <row r="9" spans="1:17">
      <c r="A9" s="1">
        <v>6</v>
      </c>
      <c r="B9">
        <v>1177.814203942326</v>
      </c>
      <c r="C9">
        <v>43.046901691968358</v>
      </c>
      <c r="D9">
        <v>3.9170445283253992</v>
      </c>
      <c r="E9">
        <v>0.92227864680105209</v>
      </c>
      <c r="F9">
        <v>2022.8963886987451</v>
      </c>
      <c r="G9">
        <v>70.661992325822524</v>
      </c>
      <c r="H9">
        <v>22.456104493141179</v>
      </c>
      <c r="I9">
        <v>2.9638130823312001</v>
      </c>
      <c r="J9">
        <v>5921.8784622359062</v>
      </c>
      <c r="K9">
        <v>49.300766705125767</v>
      </c>
      <c r="L9">
        <v>11.232089193662009</v>
      </c>
      <c r="M9">
        <v>29.616319249846381</v>
      </c>
      <c r="N9">
        <v>0.80108839456595027</v>
      </c>
      <c r="O9">
        <v>7.619291961497781E-3</v>
      </c>
      <c r="P9">
        <v>0.65840657407443726</v>
      </c>
      <c r="Q9">
        <v>1.1478435390684589E-2</v>
      </c>
    </row>
    <row r="10" spans="1:17">
      <c r="A10" s="1">
        <v>7</v>
      </c>
      <c r="B10">
        <v>1265.9833206805449</v>
      </c>
      <c r="C10">
        <v>65.111628710691889</v>
      </c>
      <c r="D10">
        <v>0.98529171943664551</v>
      </c>
      <c r="E10">
        <v>0.31086510344999863</v>
      </c>
      <c r="F10">
        <v>2819.60136143613</v>
      </c>
      <c r="G10">
        <v>130.1762882387842</v>
      </c>
      <c r="H10">
        <v>12.617377217610681</v>
      </c>
      <c r="I10">
        <v>2.7118661041580641</v>
      </c>
      <c r="J10">
        <v>6934.8762568226048</v>
      </c>
      <c r="K10">
        <v>77.810521076582475</v>
      </c>
      <c r="L10">
        <v>6.0441249132156374</v>
      </c>
      <c r="M10">
        <v>1.268884120074004</v>
      </c>
      <c r="N10">
        <v>0.81745759293234022</v>
      </c>
      <c r="O10">
        <v>8.9362696170559308E-3</v>
      </c>
      <c r="P10">
        <v>0.59338550337401019</v>
      </c>
      <c r="Q10">
        <v>1.892855013194265E-2</v>
      </c>
    </row>
    <row r="11" spans="1:17">
      <c r="A11" s="1" t="s">
        <v>11</v>
      </c>
      <c r="B11">
        <v>112.1150686188365</v>
      </c>
      <c r="C11">
        <v>17.930085860491079</v>
      </c>
      <c r="D11">
        <v>5.5274303754170737E-2</v>
      </c>
      <c r="E11">
        <v>1.230692208551077E-2</v>
      </c>
      <c r="F11">
        <v>231.1550297193985</v>
      </c>
      <c r="G11">
        <v>32.192753595920458</v>
      </c>
      <c r="H11">
        <v>0.1932309707005819</v>
      </c>
      <c r="I11">
        <v>5.7502935906588552E-2</v>
      </c>
      <c r="J11">
        <v>733.02559962558405</v>
      </c>
      <c r="K11">
        <v>19.273669666137408</v>
      </c>
      <c r="L11">
        <v>1.513569680849711</v>
      </c>
      <c r="M11">
        <v>0.27845181427818427</v>
      </c>
      <c r="N11">
        <v>0.84703502685682208</v>
      </c>
      <c r="O11">
        <v>2.4247554310983181E-2</v>
      </c>
      <c r="P11">
        <v>0.68459190358429045</v>
      </c>
      <c r="Q11">
        <v>4.3805074044894927E-2</v>
      </c>
    </row>
    <row r="12" spans="1:17">
      <c r="A12" s="1" t="s">
        <v>12</v>
      </c>
      <c r="B12">
        <v>218.1141121130446</v>
      </c>
      <c r="C12">
        <v>20.59448589852224</v>
      </c>
      <c r="D12">
        <v>0.1071051120758057</v>
      </c>
      <c r="E12">
        <v>1.7819599857751989E-2</v>
      </c>
      <c r="F12">
        <v>435.47233216571368</v>
      </c>
      <c r="G12">
        <v>37.37051234249391</v>
      </c>
      <c r="H12">
        <v>0.44149774710337319</v>
      </c>
      <c r="I12">
        <v>0.1015702053436902</v>
      </c>
      <c r="J12">
        <v>1305.2137471048391</v>
      </c>
      <c r="K12">
        <v>33.337948593571582</v>
      </c>
      <c r="L12">
        <v>1.5201936086018879</v>
      </c>
      <c r="M12">
        <v>0.22862869825550969</v>
      </c>
      <c r="N12">
        <v>0.83289959521889378</v>
      </c>
      <c r="O12">
        <v>1.5083774700855051E-2</v>
      </c>
      <c r="P12">
        <v>0.66626477286767782</v>
      </c>
      <c r="Q12">
        <v>2.8382730531804311E-2</v>
      </c>
    </row>
    <row r="13" spans="1:17">
      <c r="A13" s="1" t="s">
        <v>13</v>
      </c>
      <c r="B13">
        <v>345.24383038446348</v>
      </c>
      <c r="C13">
        <v>25.516459506073708</v>
      </c>
      <c r="D13">
        <v>0.22926335334777831</v>
      </c>
      <c r="E13">
        <v>0.24240675673667481</v>
      </c>
      <c r="F13">
        <v>666.50394418904614</v>
      </c>
      <c r="G13">
        <v>47.604949980185253</v>
      </c>
      <c r="H13">
        <v>0.99077749252319336</v>
      </c>
      <c r="I13">
        <v>0.36934509934395182</v>
      </c>
      <c r="J13">
        <v>1822.61655103917</v>
      </c>
      <c r="K13">
        <v>28.185284365571551</v>
      </c>
      <c r="L13">
        <v>1.88578630288442</v>
      </c>
      <c r="M13">
        <v>0.55289748628385416</v>
      </c>
      <c r="N13">
        <v>0.81053434738242947</v>
      </c>
      <c r="O13">
        <v>1.438337914031706E-2</v>
      </c>
      <c r="P13">
        <v>0.63431382415315396</v>
      </c>
      <c r="Q13">
        <v>2.5635870273722789E-2</v>
      </c>
    </row>
    <row r="14" spans="1:17">
      <c r="A14" s="1" t="s">
        <v>14</v>
      </c>
      <c r="B14">
        <v>514.75583401119411</v>
      </c>
      <c r="C14">
        <v>68.757779093285635</v>
      </c>
      <c r="D14">
        <v>0.11118503411610919</v>
      </c>
      <c r="E14">
        <v>2.6795905153916021E-2</v>
      </c>
      <c r="F14">
        <v>535.19493206286086</v>
      </c>
      <c r="G14">
        <v>43.385611835851087</v>
      </c>
      <c r="H14">
        <v>0.48086680571238199</v>
      </c>
      <c r="I14">
        <v>0.12782171119208</v>
      </c>
      <c r="J14">
        <v>1091.276743565943</v>
      </c>
      <c r="K14">
        <v>25.86445054163682</v>
      </c>
      <c r="L14">
        <v>1.517010696729024</v>
      </c>
      <c r="M14">
        <v>0.29870748068153452</v>
      </c>
      <c r="N14">
        <v>0.52828578740073973</v>
      </c>
      <c r="O14">
        <v>6.271255918972711E-2</v>
      </c>
      <c r="P14">
        <v>0.50938707660770399</v>
      </c>
      <c r="Q14">
        <v>4.0378792953254507E-2</v>
      </c>
    </row>
    <row r="15" spans="1:17">
      <c r="A15" s="1" t="s">
        <v>15</v>
      </c>
      <c r="B15">
        <v>834.35618411586938</v>
      </c>
      <c r="C15">
        <v>113.0613011916097</v>
      </c>
      <c r="D15">
        <v>0.10989644527435299</v>
      </c>
      <c r="E15">
        <v>2.4439285670589121E-2</v>
      </c>
      <c r="F15">
        <v>657.87673084775531</v>
      </c>
      <c r="G15">
        <v>47.464981882468138</v>
      </c>
      <c r="H15">
        <v>0.49791900316874188</v>
      </c>
      <c r="I15">
        <v>0.13439037351918509</v>
      </c>
      <c r="J15">
        <v>1219.827479218696</v>
      </c>
      <c r="K15">
        <v>38.011372538981973</v>
      </c>
      <c r="L15">
        <v>1.3254151026407881</v>
      </c>
      <c r="M15">
        <v>0.1733295898997676</v>
      </c>
      <c r="N15">
        <v>0.31610886023277579</v>
      </c>
      <c r="O15">
        <v>8.9297805716165635E-2</v>
      </c>
      <c r="P15">
        <v>0.46042287258041648</v>
      </c>
      <c r="Q15">
        <v>3.9175317182437323E-2</v>
      </c>
    </row>
    <row r="16" spans="1:17">
      <c r="A16" s="1" t="s">
        <v>16</v>
      </c>
      <c r="B16">
        <v>231.94605035338679</v>
      </c>
      <c r="C16">
        <v>29.339621075250299</v>
      </c>
      <c r="D16">
        <v>0.1210688988367716</v>
      </c>
      <c r="E16">
        <v>3.11475091062384E-2</v>
      </c>
      <c r="F16">
        <v>382.55837937262578</v>
      </c>
      <c r="G16">
        <v>24.963872894663929</v>
      </c>
      <c r="H16">
        <v>0.61234397888183589</v>
      </c>
      <c r="I16">
        <v>0.13651120499000169</v>
      </c>
      <c r="J16">
        <v>1210.5013366147109</v>
      </c>
      <c r="K16">
        <v>19.736838034013179</v>
      </c>
      <c r="L16">
        <v>1.578486744562785</v>
      </c>
      <c r="M16">
        <v>0.25174841290553279</v>
      </c>
      <c r="N16">
        <v>0.80825997291977936</v>
      </c>
      <c r="O16">
        <v>2.510803768700038E-2</v>
      </c>
      <c r="P16">
        <v>0.68387710695271087</v>
      </c>
      <c r="Q16">
        <v>2.1463465024604E-2</v>
      </c>
    </row>
    <row r="17" spans="1:19">
      <c r="A17" s="1" t="s">
        <v>17</v>
      </c>
      <c r="B17">
        <v>226.36061926490819</v>
      </c>
      <c r="C17">
        <v>27.878421234965209</v>
      </c>
      <c r="D17">
        <v>0.15891675949096681</v>
      </c>
      <c r="E17">
        <v>0.1392855867995422</v>
      </c>
      <c r="F17">
        <v>509.64238982434591</v>
      </c>
      <c r="G17">
        <v>38.201018668772022</v>
      </c>
      <c r="H17">
        <v>0.46745142141977952</v>
      </c>
      <c r="I17">
        <v>0.15201679921819139</v>
      </c>
      <c r="J17">
        <v>1367.833585937889</v>
      </c>
      <c r="K17">
        <v>42.468239720461312</v>
      </c>
      <c r="L17">
        <v>1.7831276337305699</v>
      </c>
      <c r="M17">
        <v>0.41141527879018752</v>
      </c>
      <c r="N17">
        <v>0.83449329561889107</v>
      </c>
      <c r="O17">
        <v>2.0012576117474729E-2</v>
      </c>
      <c r="P17">
        <v>0.62707042686359304</v>
      </c>
      <c r="Q17">
        <v>3.002705152487643E-2</v>
      </c>
    </row>
    <row r="18" spans="1:19">
      <c r="B18" s="2" t="s">
        <v>0</v>
      </c>
      <c r="C18" s="2"/>
      <c r="D18" s="2" t="s">
        <v>1</v>
      </c>
      <c r="E18" s="2"/>
      <c r="F18" s="2" t="s">
        <v>2</v>
      </c>
      <c r="G18" s="2"/>
      <c r="H18" s="2" t="s">
        <v>3</v>
      </c>
      <c r="I18" s="2"/>
      <c r="J18" s="2" t="s">
        <v>4</v>
      </c>
      <c r="K18" s="2"/>
      <c r="L18" s="2" t="s">
        <v>5</v>
      </c>
      <c r="M18" s="2"/>
      <c r="N18" s="2" t="s">
        <v>6</v>
      </c>
      <c r="O18" s="2"/>
      <c r="P18" s="2" t="s">
        <v>7</v>
      </c>
      <c r="Q18" s="2"/>
    </row>
    <row r="19" spans="1:19">
      <c r="B19" s="1" t="s">
        <v>8</v>
      </c>
      <c r="C19" s="1" t="s">
        <v>9</v>
      </c>
      <c r="D19" s="1" t="s">
        <v>8</v>
      </c>
      <c r="E19" s="1" t="s">
        <v>9</v>
      </c>
      <c r="F19" s="1" t="s">
        <v>8</v>
      </c>
      <c r="G19" s="1" t="s">
        <v>9</v>
      </c>
      <c r="H19" s="1" t="s">
        <v>8</v>
      </c>
      <c r="I19" s="1" t="s">
        <v>9</v>
      </c>
      <c r="J19" s="1" t="s">
        <v>8</v>
      </c>
      <c r="K19" s="1" t="s">
        <v>9</v>
      </c>
      <c r="L19" s="1" t="s">
        <v>8</v>
      </c>
      <c r="M19" s="1" t="s">
        <v>9</v>
      </c>
      <c r="N19" s="1" t="s">
        <v>8</v>
      </c>
      <c r="O19" s="1" t="s">
        <v>9</v>
      </c>
      <c r="P19" s="1" t="s">
        <v>8</v>
      </c>
      <c r="Q19" s="1" t="s">
        <v>9</v>
      </c>
    </row>
    <row r="20" spans="1:19">
      <c r="A20" s="1">
        <v>1</v>
      </c>
      <c r="B20">
        <f>ROUND(B4,2)</f>
        <v>580.59</v>
      </c>
      <c r="C20">
        <f t="shared" ref="C20:Q20" si="0">ROUND(C4,2)</f>
        <v>36.56</v>
      </c>
      <c r="D20">
        <f t="shared" si="0"/>
        <v>0.47</v>
      </c>
      <c r="E20">
        <f t="shared" si="0"/>
        <v>0.14000000000000001</v>
      </c>
      <c r="F20">
        <f t="shared" si="0"/>
        <v>1246.9000000000001</v>
      </c>
      <c r="G20">
        <f t="shared" si="0"/>
        <v>55.91</v>
      </c>
      <c r="H20">
        <f t="shared" si="0"/>
        <v>4.9400000000000004</v>
      </c>
      <c r="I20">
        <f t="shared" si="0"/>
        <v>0.85</v>
      </c>
      <c r="J20">
        <f t="shared" si="0"/>
        <v>3724.11</v>
      </c>
      <c r="K20">
        <f t="shared" si="0"/>
        <v>52.57</v>
      </c>
      <c r="L20">
        <f t="shared" si="0"/>
        <v>5.91</v>
      </c>
      <c r="M20">
        <f t="shared" si="0"/>
        <v>0.93</v>
      </c>
      <c r="N20">
        <f t="shared" si="0"/>
        <v>0.84</v>
      </c>
      <c r="O20">
        <f t="shared" si="0"/>
        <v>0.01</v>
      </c>
      <c r="P20">
        <f t="shared" si="0"/>
        <v>0.67</v>
      </c>
      <c r="Q20">
        <f t="shared" si="0"/>
        <v>0.01</v>
      </c>
      <c r="S20" t="str">
        <f>A20 &amp; " &amp; " &amp;J20 &amp; " &amp; " &amp;B20 &amp; " &amp; " &amp;F20 &amp; " &amp; " &amp;N20 &amp; " &amp; " &amp;O20 &amp; " &amp; " &amp;P20&amp; " &amp; " &amp;Q20&amp; " &amp; " &amp;L20&amp; " &amp; " &amp; D20&amp; " &amp; " &amp;H20 &amp; "\\"</f>
        <v>1 &amp; 3724.11 &amp; 580.59 &amp; 1246.9 &amp; 0.84 &amp; 0.01 &amp; 0.67 &amp; 0.01 &amp; 5.91 &amp; 0.47 &amp; 4.94\\</v>
      </c>
    </row>
    <row r="21" spans="1:19">
      <c r="A21" s="1">
        <v>2</v>
      </c>
      <c r="B21">
        <f t="shared" ref="B21:Q33" si="1">ROUND(B5,2)</f>
        <v>1240.8399999999999</v>
      </c>
      <c r="C21">
        <f t="shared" si="1"/>
        <v>58.86</v>
      </c>
      <c r="D21">
        <f t="shared" si="1"/>
        <v>1.21</v>
      </c>
      <c r="E21">
        <f t="shared" si="1"/>
        <v>0.24</v>
      </c>
      <c r="F21">
        <f t="shared" si="1"/>
        <v>2428.0300000000002</v>
      </c>
      <c r="G21">
        <f t="shared" si="1"/>
        <v>83.55</v>
      </c>
      <c r="H21">
        <f t="shared" si="1"/>
        <v>13.94</v>
      </c>
      <c r="I21">
        <f t="shared" si="1"/>
        <v>1.84</v>
      </c>
      <c r="J21">
        <f t="shared" si="1"/>
        <v>6545.58</v>
      </c>
      <c r="K21">
        <f t="shared" si="1"/>
        <v>77.3</v>
      </c>
      <c r="L21">
        <f t="shared" si="1"/>
        <v>4.99</v>
      </c>
      <c r="M21">
        <f t="shared" si="1"/>
        <v>0.46</v>
      </c>
      <c r="N21">
        <f t="shared" si="1"/>
        <v>0.81</v>
      </c>
      <c r="O21">
        <f t="shared" si="1"/>
        <v>0.01</v>
      </c>
      <c r="P21">
        <f t="shared" si="1"/>
        <v>0.63</v>
      </c>
      <c r="Q21">
        <f t="shared" si="1"/>
        <v>0.01</v>
      </c>
      <c r="S21" t="str">
        <f t="shared" ref="S21:S33" si="2">A21 &amp; " &amp; " &amp;J21 &amp; " &amp; " &amp;B21 &amp; " &amp; " &amp;F21 &amp; " &amp; " &amp;N21 &amp; " &amp; " &amp;O21 &amp; " &amp; " &amp;P21&amp; " &amp; " &amp;Q21&amp; " &amp; " &amp;L21&amp; " &amp; " &amp; D21&amp; " &amp; " &amp;H21 &amp; "\\"</f>
        <v>2 &amp; 6545.58 &amp; 1240.84 &amp; 2428.03 &amp; 0.81 &amp; 0.01 &amp; 0.63 &amp; 0.01 &amp; 4.99 &amp; 1.21 &amp; 13.94\\</v>
      </c>
    </row>
    <row r="22" spans="1:19">
      <c r="A22" s="1">
        <v>3</v>
      </c>
      <c r="B22">
        <f t="shared" si="1"/>
        <v>2854.85</v>
      </c>
      <c r="C22">
        <f t="shared" si="1"/>
        <v>106.48</v>
      </c>
      <c r="D22">
        <f t="shared" si="1"/>
        <v>5.4</v>
      </c>
      <c r="E22">
        <f t="shared" si="1"/>
        <v>0.57999999999999996</v>
      </c>
      <c r="F22">
        <f t="shared" si="1"/>
        <v>4817.3599999999997</v>
      </c>
      <c r="G22">
        <f t="shared" si="1"/>
        <v>120.19</v>
      </c>
      <c r="H22">
        <f t="shared" si="1"/>
        <v>42.9</v>
      </c>
      <c r="I22">
        <f t="shared" si="1"/>
        <v>3.83</v>
      </c>
      <c r="J22">
        <f t="shared" si="1"/>
        <v>10790.32</v>
      </c>
      <c r="K22">
        <f t="shared" si="1"/>
        <v>83</v>
      </c>
      <c r="L22">
        <f t="shared" si="1"/>
        <v>4.7</v>
      </c>
      <c r="M22">
        <f t="shared" si="1"/>
        <v>0.38</v>
      </c>
      <c r="N22">
        <f t="shared" si="1"/>
        <v>0.74</v>
      </c>
      <c r="O22">
        <f t="shared" si="1"/>
        <v>0.01</v>
      </c>
      <c r="P22">
        <f t="shared" si="1"/>
        <v>0.55000000000000004</v>
      </c>
      <c r="Q22">
        <f t="shared" si="1"/>
        <v>0.01</v>
      </c>
      <c r="S22" t="str">
        <f t="shared" si="2"/>
        <v>3 &amp; 10790.32 &amp; 2854.85 &amp; 4817.36 &amp; 0.74 &amp; 0.01 &amp; 0.55 &amp; 0.01 &amp; 4.7 &amp; 5.4 &amp; 42.9\\</v>
      </c>
    </row>
    <row r="23" spans="1:19">
      <c r="A23" s="1">
        <v>4</v>
      </c>
      <c r="B23">
        <f t="shared" si="1"/>
        <v>2565.4</v>
      </c>
      <c r="C23">
        <f t="shared" si="1"/>
        <v>96.79</v>
      </c>
      <c r="D23">
        <f t="shared" si="1"/>
        <v>1.1100000000000001</v>
      </c>
      <c r="E23">
        <f t="shared" si="1"/>
        <v>0.17</v>
      </c>
      <c r="F23">
        <f t="shared" si="1"/>
        <v>2823.52</v>
      </c>
      <c r="G23">
        <f t="shared" si="1"/>
        <v>98.57</v>
      </c>
      <c r="H23">
        <f t="shared" si="1"/>
        <v>12.84</v>
      </c>
      <c r="I23">
        <f t="shared" si="1"/>
        <v>1.38</v>
      </c>
      <c r="J23">
        <f t="shared" si="1"/>
        <v>5161.38</v>
      </c>
      <c r="K23">
        <f t="shared" si="1"/>
        <v>60.85</v>
      </c>
      <c r="L23">
        <f t="shared" si="1"/>
        <v>5.0999999999999996</v>
      </c>
      <c r="M23">
        <f t="shared" si="1"/>
        <v>0.3</v>
      </c>
      <c r="N23">
        <f t="shared" si="1"/>
        <v>0.5</v>
      </c>
      <c r="O23">
        <f t="shared" si="1"/>
        <v>0.02</v>
      </c>
      <c r="P23">
        <f t="shared" si="1"/>
        <v>0.45</v>
      </c>
      <c r="Q23">
        <f t="shared" si="1"/>
        <v>0.02</v>
      </c>
      <c r="S23" t="str">
        <f t="shared" si="2"/>
        <v>4 &amp; 5161.38 &amp; 2565.4 &amp; 2823.52 &amp; 0.5 &amp; 0.02 &amp; 0.45 &amp; 0.02 &amp; 5.1 &amp; 1.11 &amp; 12.84\\</v>
      </c>
    </row>
    <row r="24" spans="1:19">
      <c r="A24" s="1">
        <v>5</v>
      </c>
      <c r="B24">
        <f t="shared" si="1"/>
        <v>3879.85</v>
      </c>
      <c r="C24">
        <f t="shared" si="1"/>
        <v>221.25</v>
      </c>
      <c r="D24">
        <f t="shared" si="1"/>
        <v>1.1200000000000001</v>
      </c>
      <c r="E24">
        <f t="shared" si="1"/>
        <v>0.17</v>
      </c>
      <c r="F24">
        <f t="shared" si="1"/>
        <v>3293.48</v>
      </c>
      <c r="G24">
        <f t="shared" si="1"/>
        <v>142.51</v>
      </c>
      <c r="H24">
        <f t="shared" si="1"/>
        <v>13.17</v>
      </c>
      <c r="I24">
        <f t="shared" si="1"/>
        <v>1.36</v>
      </c>
      <c r="J24">
        <f t="shared" si="1"/>
        <v>4835.99</v>
      </c>
      <c r="K24">
        <f t="shared" si="1"/>
        <v>80.180000000000007</v>
      </c>
      <c r="L24">
        <f t="shared" si="1"/>
        <v>4.6399999999999997</v>
      </c>
      <c r="M24">
        <f t="shared" si="1"/>
        <v>0.27</v>
      </c>
      <c r="N24">
        <f t="shared" si="1"/>
        <v>0.2</v>
      </c>
      <c r="O24">
        <f t="shared" si="1"/>
        <v>0.04</v>
      </c>
      <c r="P24">
        <f t="shared" si="1"/>
        <v>0.32</v>
      </c>
      <c r="Q24">
        <f t="shared" si="1"/>
        <v>0.03</v>
      </c>
      <c r="S24" t="str">
        <f t="shared" si="2"/>
        <v>5 &amp; 4835.99 &amp; 3879.85 &amp; 3293.48 &amp; 0.2 &amp; 0.04 &amp; 0.32 &amp; 0.03 &amp; 4.64 &amp; 1.12 &amp; 13.17\\</v>
      </c>
    </row>
    <row r="25" spans="1:19">
      <c r="A25" s="1">
        <v>6</v>
      </c>
      <c r="B25">
        <f t="shared" si="1"/>
        <v>1177.81</v>
      </c>
      <c r="C25">
        <f t="shared" si="1"/>
        <v>43.05</v>
      </c>
      <c r="D25">
        <f t="shared" si="1"/>
        <v>3.92</v>
      </c>
      <c r="E25">
        <f t="shared" si="1"/>
        <v>0.92</v>
      </c>
      <c r="F25">
        <f t="shared" si="1"/>
        <v>2022.9</v>
      </c>
      <c r="G25">
        <f t="shared" si="1"/>
        <v>70.66</v>
      </c>
      <c r="H25">
        <f t="shared" si="1"/>
        <v>22.46</v>
      </c>
      <c r="I25">
        <f t="shared" si="1"/>
        <v>2.96</v>
      </c>
      <c r="J25">
        <f t="shared" si="1"/>
        <v>5921.88</v>
      </c>
      <c r="K25">
        <f t="shared" si="1"/>
        <v>49.3</v>
      </c>
      <c r="L25">
        <f t="shared" si="1"/>
        <v>11.23</v>
      </c>
      <c r="M25">
        <f t="shared" si="1"/>
        <v>29.62</v>
      </c>
      <c r="N25">
        <f t="shared" si="1"/>
        <v>0.8</v>
      </c>
      <c r="O25">
        <f t="shared" si="1"/>
        <v>0.01</v>
      </c>
      <c r="P25">
        <f t="shared" si="1"/>
        <v>0.66</v>
      </c>
      <c r="Q25">
        <f t="shared" si="1"/>
        <v>0.01</v>
      </c>
      <c r="S25" t="str">
        <f t="shared" si="2"/>
        <v>6 &amp; 5921.88 &amp; 1177.81 &amp; 2022.9 &amp; 0.8 &amp; 0.01 &amp; 0.66 &amp; 0.01 &amp; 11.23 &amp; 3.92 &amp; 22.46\\</v>
      </c>
    </row>
    <row r="26" spans="1:19">
      <c r="A26" s="1">
        <v>7</v>
      </c>
      <c r="B26">
        <f t="shared" si="1"/>
        <v>1265.98</v>
      </c>
      <c r="C26">
        <f t="shared" si="1"/>
        <v>65.11</v>
      </c>
      <c r="D26">
        <f t="shared" si="1"/>
        <v>0.99</v>
      </c>
      <c r="E26">
        <f t="shared" si="1"/>
        <v>0.31</v>
      </c>
      <c r="F26">
        <f t="shared" si="1"/>
        <v>2819.6</v>
      </c>
      <c r="G26">
        <f t="shared" si="1"/>
        <v>130.18</v>
      </c>
      <c r="H26">
        <f t="shared" si="1"/>
        <v>12.62</v>
      </c>
      <c r="I26">
        <f t="shared" si="1"/>
        <v>2.71</v>
      </c>
      <c r="J26">
        <f t="shared" si="1"/>
        <v>6934.88</v>
      </c>
      <c r="K26">
        <f t="shared" si="1"/>
        <v>77.81</v>
      </c>
      <c r="L26">
        <f t="shared" si="1"/>
        <v>6.04</v>
      </c>
      <c r="M26">
        <f t="shared" si="1"/>
        <v>1.27</v>
      </c>
      <c r="N26">
        <f t="shared" si="1"/>
        <v>0.82</v>
      </c>
      <c r="O26">
        <f t="shared" si="1"/>
        <v>0.01</v>
      </c>
      <c r="P26">
        <f t="shared" si="1"/>
        <v>0.59</v>
      </c>
      <c r="Q26">
        <f t="shared" si="1"/>
        <v>0.02</v>
      </c>
      <c r="S26" t="str">
        <f t="shared" si="2"/>
        <v>7 &amp; 6934.88 &amp; 1265.98 &amp; 2819.6 &amp; 0.82 &amp; 0.01 &amp; 0.59 &amp; 0.02 &amp; 6.04 &amp; 0.99 &amp; 12.62\\</v>
      </c>
    </row>
    <row r="27" spans="1:19">
      <c r="A27" s="1" t="s">
        <v>11</v>
      </c>
      <c r="B27">
        <f t="shared" si="1"/>
        <v>112.12</v>
      </c>
      <c r="C27">
        <f t="shared" si="1"/>
        <v>17.93</v>
      </c>
      <c r="D27">
        <f t="shared" si="1"/>
        <v>0.06</v>
      </c>
      <c r="E27">
        <f t="shared" si="1"/>
        <v>0.01</v>
      </c>
      <c r="F27">
        <f t="shared" si="1"/>
        <v>231.16</v>
      </c>
      <c r="G27">
        <f t="shared" si="1"/>
        <v>32.19</v>
      </c>
      <c r="H27">
        <f t="shared" si="1"/>
        <v>0.19</v>
      </c>
      <c r="I27">
        <f t="shared" si="1"/>
        <v>0.06</v>
      </c>
      <c r="J27">
        <f t="shared" si="1"/>
        <v>733.03</v>
      </c>
      <c r="K27">
        <f t="shared" si="1"/>
        <v>19.27</v>
      </c>
      <c r="L27">
        <f t="shared" si="1"/>
        <v>1.51</v>
      </c>
      <c r="M27">
        <f t="shared" si="1"/>
        <v>0.28000000000000003</v>
      </c>
      <c r="N27">
        <f t="shared" si="1"/>
        <v>0.85</v>
      </c>
      <c r="O27">
        <f t="shared" si="1"/>
        <v>0.02</v>
      </c>
      <c r="P27">
        <f t="shared" si="1"/>
        <v>0.68</v>
      </c>
      <c r="Q27">
        <f t="shared" si="1"/>
        <v>0.04</v>
      </c>
      <c r="S27" t="str">
        <f t="shared" si="2"/>
        <v>1_np &amp; 733.03 &amp; 112.12 &amp; 231.16 &amp; 0.85 &amp; 0.02 &amp; 0.68 &amp; 0.04 &amp; 1.51 &amp; 0.06 &amp; 0.19\\</v>
      </c>
    </row>
    <row r="28" spans="1:19">
      <c r="A28" s="1" t="s">
        <v>12</v>
      </c>
      <c r="B28">
        <f t="shared" si="1"/>
        <v>218.11</v>
      </c>
      <c r="C28">
        <f t="shared" si="1"/>
        <v>20.59</v>
      </c>
      <c r="D28">
        <f t="shared" si="1"/>
        <v>0.11</v>
      </c>
      <c r="E28">
        <f t="shared" si="1"/>
        <v>0.02</v>
      </c>
      <c r="F28">
        <f t="shared" si="1"/>
        <v>435.47</v>
      </c>
      <c r="G28">
        <f t="shared" si="1"/>
        <v>37.369999999999997</v>
      </c>
      <c r="H28">
        <f t="shared" si="1"/>
        <v>0.44</v>
      </c>
      <c r="I28">
        <f t="shared" si="1"/>
        <v>0.1</v>
      </c>
      <c r="J28">
        <f t="shared" si="1"/>
        <v>1305.21</v>
      </c>
      <c r="K28">
        <f t="shared" si="1"/>
        <v>33.340000000000003</v>
      </c>
      <c r="L28">
        <f t="shared" si="1"/>
        <v>1.52</v>
      </c>
      <c r="M28">
        <f t="shared" si="1"/>
        <v>0.23</v>
      </c>
      <c r="N28">
        <f t="shared" si="1"/>
        <v>0.83</v>
      </c>
      <c r="O28">
        <f t="shared" si="1"/>
        <v>0.02</v>
      </c>
      <c r="P28">
        <f t="shared" si="1"/>
        <v>0.67</v>
      </c>
      <c r="Q28">
        <f t="shared" si="1"/>
        <v>0.03</v>
      </c>
      <c r="S28" t="str">
        <f t="shared" si="2"/>
        <v>2_np &amp; 1305.21 &amp; 218.11 &amp; 435.47 &amp; 0.83 &amp; 0.02 &amp; 0.67 &amp; 0.03 &amp; 1.52 &amp; 0.11 &amp; 0.44\\</v>
      </c>
    </row>
    <row r="29" spans="1:19">
      <c r="A29" s="1" t="s">
        <v>13</v>
      </c>
      <c r="B29">
        <f t="shared" si="1"/>
        <v>345.24</v>
      </c>
      <c r="C29">
        <f t="shared" si="1"/>
        <v>25.52</v>
      </c>
      <c r="D29">
        <f t="shared" si="1"/>
        <v>0.23</v>
      </c>
      <c r="E29">
        <f t="shared" si="1"/>
        <v>0.24</v>
      </c>
      <c r="F29">
        <f t="shared" si="1"/>
        <v>666.5</v>
      </c>
      <c r="G29">
        <f t="shared" si="1"/>
        <v>47.6</v>
      </c>
      <c r="H29">
        <f t="shared" si="1"/>
        <v>0.99</v>
      </c>
      <c r="I29">
        <f t="shared" si="1"/>
        <v>0.37</v>
      </c>
      <c r="J29">
        <f t="shared" si="1"/>
        <v>1822.62</v>
      </c>
      <c r="K29">
        <f t="shared" si="1"/>
        <v>28.19</v>
      </c>
      <c r="L29">
        <f t="shared" si="1"/>
        <v>1.89</v>
      </c>
      <c r="M29">
        <f t="shared" si="1"/>
        <v>0.55000000000000004</v>
      </c>
      <c r="N29">
        <f t="shared" si="1"/>
        <v>0.81</v>
      </c>
      <c r="O29">
        <f t="shared" si="1"/>
        <v>0.01</v>
      </c>
      <c r="P29">
        <f t="shared" si="1"/>
        <v>0.63</v>
      </c>
      <c r="Q29">
        <f t="shared" si="1"/>
        <v>0.03</v>
      </c>
      <c r="S29" t="str">
        <f t="shared" si="2"/>
        <v>3_np &amp; 1822.62 &amp; 345.24 &amp; 666.5 &amp; 0.81 &amp; 0.01 &amp; 0.63 &amp; 0.03 &amp; 1.89 &amp; 0.23 &amp; 0.99\\</v>
      </c>
    </row>
    <row r="30" spans="1:19">
      <c r="A30" s="1" t="s">
        <v>14</v>
      </c>
      <c r="B30">
        <f t="shared" si="1"/>
        <v>514.76</v>
      </c>
      <c r="C30">
        <f t="shared" si="1"/>
        <v>68.760000000000005</v>
      </c>
      <c r="D30">
        <f t="shared" si="1"/>
        <v>0.11</v>
      </c>
      <c r="E30">
        <f t="shared" si="1"/>
        <v>0.03</v>
      </c>
      <c r="F30">
        <f t="shared" si="1"/>
        <v>535.19000000000005</v>
      </c>
      <c r="G30">
        <f t="shared" si="1"/>
        <v>43.39</v>
      </c>
      <c r="H30">
        <f t="shared" si="1"/>
        <v>0.48</v>
      </c>
      <c r="I30">
        <f t="shared" si="1"/>
        <v>0.13</v>
      </c>
      <c r="J30">
        <f t="shared" si="1"/>
        <v>1091.28</v>
      </c>
      <c r="K30">
        <f t="shared" si="1"/>
        <v>25.86</v>
      </c>
      <c r="L30">
        <f t="shared" si="1"/>
        <v>1.52</v>
      </c>
      <c r="M30">
        <f t="shared" si="1"/>
        <v>0.3</v>
      </c>
      <c r="N30">
        <f t="shared" si="1"/>
        <v>0.53</v>
      </c>
      <c r="O30">
        <f t="shared" si="1"/>
        <v>0.06</v>
      </c>
      <c r="P30">
        <f t="shared" si="1"/>
        <v>0.51</v>
      </c>
      <c r="Q30">
        <f t="shared" si="1"/>
        <v>0.04</v>
      </c>
      <c r="S30" t="str">
        <f t="shared" si="2"/>
        <v>4_np &amp; 1091.28 &amp; 514.76 &amp; 535.19 &amp; 0.53 &amp; 0.06 &amp; 0.51 &amp; 0.04 &amp; 1.52 &amp; 0.11 &amp; 0.48\\</v>
      </c>
    </row>
    <row r="31" spans="1:19">
      <c r="A31" s="1" t="s">
        <v>15</v>
      </c>
      <c r="B31">
        <f t="shared" si="1"/>
        <v>834.36</v>
      </c>
      <c r="C31">
        <f t="shared" si="1"/>
        <v>113.06</v>
      </c>
      <c r="D31">
        <f t="shared" si="1"/>
        <v>0.11</v>
      </c>
      <c r="E31">
        <f t="shared" si="1"/>
        <v>0.02</v>
      </c>
      <c r="F31">
        <f t="shared" si="1"/>
        <v>657.88</v>
      </c>
      <c r="G31">
        <f t="shared" si="1"/>
        <v>47.46</v>
      </c>
      <c r="H31">
        <f t="shared" si="1"/>
        <v>0.5</v>
      </c>
      <c r="I31">
        <f t="shared" si="1"/>
        <v>0.13</v>
      </c>
      <c r="J31">
        <f t="shared" si="1"/>
        <v>1219.83</v>
      </c>
      <c r="K31">
        <f t="shared" si="1"/>
        <v>38.01</v>
      </c>
      <c r="L31">
        <f t="shared" si="1"/>
        <v>1.33</v>
      </c>
      <c r="M31">
        <f t="shared" si="1"/>
        <v>0.17</v>
      </c>
      <c r="N31">
        <f t="shared" si="1"/>
        <v>0.32</v>
      </c>
      <c r="O31">
        <f t="shared" si="1"/>
        <v>0.09</v>
      </c>
      <c r="P31">
        <f t="shared" si="1"/>
        <v>0.46</v>
      </c>
      <c r="Q31">
        <f t="shared" si="1"/>
        <v>0.04</v>
      </c>
      <c r="S31" t="str">
        <f t="shared" si="2"/>
        <v>5_np &amp; 1219.83 &amp; 834.36 &amp; 657.88 &amp; 0.32 &amp; 0.09 &amp; 0.46 &amp; 0.04 &amp; 1.33 &amp; 0.11 &amp; 0.5\\</v>
      </c>
    </row>
    <row r="32" spans="1:19">
      <c r="A32" s="1" t="s">
        <v>16</v>
      </c>
      <c r="B32">
        <f t="shared" si="1"/>
        <v>231.95</v>
      </c>
      <c r="C32">
        <f t="shared" si="1"/>
        <v>29.34</v>
      </c>
      <c r="D32">
        <f t="shared" si="1"/>
        <v>0.12</v>
      </c>
      <c r="E32">
        <f t="shared" si="1"/>
        <v>0.03</v>
      </c>
      <c r="F32">
        <f t="shared" si="1"/>
        <v>382.56</v>
      </c>
      <c r="G32">
        <f t="shared" si="1"/>
        <v>24.96</v>
      </c>
      <c r="H32">
        <f t="shared" si="1"/>
        <v>0.61</v>
      </c>
      <c r="I32">
        <f t="shared" si="1"/>
        <v>0.14000000000000001</v>
      </c>
      <c r="J32">
        <f t="shared" si="1"/>
        <v>1210.5</v>
      </c>
      <c r="K32">
        <f t="shared" si="1"/>
        <v>19.739999999999998</v>
      </c>
      <c r="L32">
        <f t="shared" si="1"/>
        <v>1.58</v>
      </c>
      <c r="M32">
        <f t="shared" si="1"/>
        <v>0.25</v>
      </c>
      <c r="N32">
        <f t="shared" si="1"/>
        <v>0.81</v>
      </c>
      <c r="O32">
        <f t="shared" si="1"/>
        <v>0.03</v>
      </c>
      <c r="P32">
        <f t="shared" si="1"/>
        <v>0.68</v>
      </c>
      <c r="Q32">
        <f t="shared" si="1"/>
        <v>0.02</v>
      </c>
      <c r="S32" t="str">
        <f t="shared" si="2"/>
        <v>6_np &amp; 1210.5 &amp; 231.95 &amp; 382.56 &amp; 0.81 &amp; 0.03 &amp; 0.68 &amp; 0.02 &amp; 1.58 &amp; 0.12 &amp; 0.61\\</v>
      </c>
    </row>
    <row r="33" spans="1:19">
      <c r="A33" s="1" t="s">
        <v>17</v>
      </c>
      <c r="B33">
        <f t="shared" si="1"/>
        <v>226.36</v>
      </c>
      <c r="C33">
        <f t="shared" si="1"/>
        <v>27.88</v>
      </c>
      <c r="D33">
        <f t="shared" si="1"/>
        <v>0.16</v>
      </c>
      <c r="E33">
        <f t="shared" si="1"/>
        <v>0.14000000000000001</v>
      </c>
      <c r="F33">
        <f t="shared" si="1"/>
        <v>509.64</v>
      </c>
      <c r="G33">
        <f t="shared" si="1"/>
        <v>38.200000000000003</v>
      </c>
      <c r="H33">
        <f t="shared" si="1"/>
        <v>0.47</v>
      </c>
      <c r="I33">
        <f t="shared" si="1"/>
        <v>0.15</v>
      </c>
      <c r="J33">
        <f t="shared" si="1"/>
        <v>1367.83</v>
      </c>
      <c r="K33">
        <f t="shared" si="1"/>
        <v>42.47</v>
      </c>
      <c r="L33">
        <f t="shared" si="1"/>
        <v>1.78</v>
      </c>
      <c r="M33">
        <f t="shared" si="1"/>
        <v>0.41</v>
      </c>
      <c r="N33">
        <f t="shared" si="1"/>
        <v>0.83</v>
      </c>
      <c r="O33">
        <f t="shared" si="1"/>
        <v>0.02</v>
      </c>
      <c r="P33">
        <f t="shared" si="1"/>
        <v>0.63</v>
      </c>
      <c r="Q33">
        <f t="shared" si="1"/>
        <v>0.03</v>
      </c>
      <c r="S33" t="str">
        <f t="shared" si="2"/>
        <v>7_np &amp; 1367.83 &amp; 226.36 &amp; 509.64 &amp; 0.83 &amp; 0.02 &amp; 0.63 &amp; 0.03 &amp; 1.78 &amp; 0.16 &amp; 0.47\\</v>
      </c>
    </row>
  </sheetData>
  <mergeCells count="16">
    <mergeCell ref="P1:Q1"/>
    <mergeCell ref="B1:C1"/>
    <mergeCell ref="F1:G1"/>
    <mergeCell ref="B18:C18"/>
    <mergeCell ref="D18:E18"/>
    <mergeCell ref="F18:G18"/>
    <mergeCell ref="H18:I18"/>
    <mergeCell ref="J18:K18"/>
    <mergeCell ref="L18:M18"/>
    <mergeCell ref="N18:O18"/>
    <mergeCell ref="P18:Q18"/>
    <mergeCell ref="N1:O1"/>
    <mergeCell ref="D1:E1"/>
    <mergeCell ref="H1:I1"/>
    <mergeCell ref="L1:M1"/>
    <mergeCell ref="J1:K1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黃林鈞 Lin Chun,Huang</cp:lastModifiedBy>
  <dcterms:created xsi:type="dcterms:W3CDTF">2025-05-25T06:19:30Z</dcterms:created>
  <dcterms:modified xsi:type="dcterms:W3CDTF">2025-05-25T06:49:39Z</dcterms:modified>
</cp:coreProperties>
</file>