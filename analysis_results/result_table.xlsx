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/>
  <mc:AlternateContent xmlns:mc="http://schemas.openxmlformats.org/markup-compatibility/2006">
    <mc:Choice Requires="x15">
      <x15ac:absPath xmlns:x15ac="http://schemas.microsoft.com/office/spreadsheetml/2010/11/ac" url="/Users/huanglinchun/Desktop/NTU/113_2/Operations Research/OR_final_project/analysis_results/"/>
    </mc:Choice>
  </mc:AlternateContent>
  <xr:revisionPtr revIDLastSave="0" documentId="13_ncr:1_{1954DBB7-5145-BD44-9FE0-2B1A845E689A}" xr6:coauthVersionLast="47" xr6:coauthVersionMax="47" xr10:uidLastSave="{00000000-0000-0000-0000-000000000000}"/>
  <bookViews>
    <workbookView xWindow="0" yWindow="500" windowWidth="28800" windowHeight="16480" xr2:uid="{00000000-000D-0000-FFFF-FFFF00000000}"/>
  </bookViews>
  <sheets>
    <sheet name="Sheet1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  <c r="N10" i="1"/>
  <c r="N11" i="1"/>
  <c r="N12" i="1"/>
  <c r="N13" i="1"/>
  <c r="N14" i="1"/>
  <c r="N15" i="1"/>
  <c r="N9" i="1"/>
  <c r="N3" i="1"/>
  <c r="N4" i="1"/>
  <c r="N5" i="1"/>
  <c r="N6" i="1"/>
  <c r="N7" i="1"/>
  <c r="N8" i="1"/>
</calcChain>
</file>

<file path=xl/sharedStrings.xml><?xml version="1.0" encoding="utf-8"?>
<sst xmlns="http://schemas.openxmlformats.org/spreadsheetml/2006/main" count="26" uniqueCount="26">
  <si>
    <t>scenarioID</t>
  </si>
  <si>
    <t>naive_obj</t>
  </si>
  <si>
    <t>heu_obj</t>
  </si>
  <si>
    <t>solver_obj</t>
  </si>
  <si>
    <t>optgap_naive</t>
  </si>
  <si>
    <t>optgap_heu</t>
  </si>
  <si>
    <t>naive_time</t>
  </si>
  <si>
    <t>heu_time</t>
  </si>
  <si>
    <t>solver_time</t>
  </si>
  <si>
    <t>naive_policy_sim</t>
  </si>
  <si>
    <t>heu_policy_sim</t>
  </si>
  <si>
    <t>solver_policy_sim</t>
  </si>
  <si>
    <t>1</t>
  </si>
  <si>
    <t>2</t>
  </si>
  <si>
    <t>3</t>
  </si>
  <si>
    <t>4</t>
  </si>
  <si>
    <t>5</t>
  </si>
  <si>
    <t>6</t>
  </si>
  <si>
    <t>7</t>
  </si>
  <si>
    <t>1_np</t>
  </si>
  <si>
    <t>2_np</t>
  </si>
  <si>
    <t>3_np</t>
  </si>
  <si>
    <t>4_np</t>
  </si>
  <si>
    <t>5_np</t>
  </si>
  <si>
    <t>6_np</t>
  </si>
  <si>
    <t>7_np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</si>
</sst>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5"/>
  <sheetViews>
    <sheetView tabSelected="1" workbookViewId="0">
      <selection activeCell="N2" sqref="N2:N15"/>
    </sheetView>
  </sheetViews>
  <sheetFormatPr baseColWidth="10" defaultColWidth="9" defaultRowHeight="14"/>
  <cols>
    <col min="14" max="14" width="10.59765625" bestFit="1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4">
      <c r="A2" s="1" t="s">
        <v>12</v>
      </c>
      <c r="B2">
        <v>871.56600000000003</v>
      </c>
      <c r="C2">
        <v>1370.5039999999999</v>
      </c>
      <c r="D2">
        <v>3540.0329999999999</v>
      </c>
      <c r="E2">
        <v>0.75379721036498804</v>
      </c>
      <c r="F2">
        <v>0.61285558637447735</v>
      </c>
      <c r="G2">
        <v>0.20499999999999999</v>
      </c>
      <c r="H2">
        <v>0.71699999999999997</v>
      </c>
      <c r="I2">
        <v>286.08999999999997</v>
      </c>
      <c r="J2">
        <v>0.66500000000000004</v>
      </c>
      <c r="K2">
        <v>0.66300000000000003</v>
      </c>
      <c r="L2">
        <v>0.47899999999999998</v>
      </c>
      <c r="N2" t="str">
        <f>ROUND(A2, 2) &amp; " &amp; " &amp; ROUND(D2, 2) &amp; " &amp; " &amp; ROUND(B2, 2) &amp; " &amp; " &amp; ROUND(C2, 2) &amp; " &amp; " &amp; ROUND(E2, 2) &amp; " &amp; " &amp; ROUND(F2,2) &amp; " &amp; " &amp; ROUND(G2, 2) &amp; " &amp; " &amp; ROUND(H2, 2) &amp; " &amp; " &amp; ROUND(I2, 2) &amp; " &amp; " &amp; ROUND(J2,2) &amp; " &amp; " &amp; ROUND(K2, 2) &amp; " &amp; " &amp;ROUND(L2, 2) &amp; "\\"</f>
        <v>1 &amp; 3540.03 &amp; 871.57 &amp; 1370.5 &amp; 0.75 &amp; 0.61 &amp; 0.21 &amp; 0.72 &amp; 286.09 &amp; 0.67 &amp; 0.66 &amp; 0.48\\</v>
      </c>
    </row>
    <row r="3" spans="1:14">
      <c r="A3" s="1" t="s">
        <v>13</v>
      </c>
      <c r="B3">
        <v>2246.5039999999999</v>
      </c>
      <c r="C3">
        <v>2860.4140000000002</v>
      </c>
      <c r="D3">
        <v>6327.4660000000003</v>
      </c>
      <c r="E3">
        <v>0.64495992550572379</v>
      </c>
      <c r="F3">
        <v>0.54793688342221036</v>
      </c>
      <c r="G3">
        <v>0.84199999999999997</v>
      </c>
      <c r="H3">
        <v>2.95</v>
      </c>
      <c r="I3">
        <v>214.30600000000001</v>
      </c>
      <c r="J3">
        <v>0.59899999999999998</v>
      </c>
      <c r="K3">
        <v>0.626</v>
      </c>
      <c r="L3">
        <v>0.46800000000000003</v>
      </c>
      <c r="N3" t="str">
        <f t="shared" ref="N3:N15" si="0">ROUND(A3, 2) &amp; " &amp; " &amp; ROUND(D3, 2) &amp; " &amp; " &amp; ROUND(B3, 2) &amp; " &amp; " &amp; ROUND(C3, 2) &amp; " &amp; " &amp; ROUND(E3, 2) &amp; " &amp; " &amp; ROUND(F3,2) &amp; " &amp; " &amp; ROUND(G3, 2) &amp; " &amp; " &amp; ROUND(H3, 2) &amp; " &amp; " &amp; ROUND(I3, 2) &amp; " &amp; " &amp; ROUND(J3,2) &amp; " &amp; " &amp; ROUND(K3, 2) &amp; " &amp; " &amp;ROUND(L3, 2) &amp; "\\"</f>
        <v>2 &amp; 6327.47 &amp; 2246.5 &amp; 2860.41 &amp; 0.64 &amp; 0.55 &amp; 0.84 &amp; 2.95 &amp; 214.31 &amp; 0.6 &amp; 0.63 &amp; 0.47\\</v>
      </c>
    </row>
    <row r="4" spans="1:14">
      <c r="A4" s="1" t="s">
        <v>14</v>
      </c>
      <c r="B4">
        <v>4930.8220000000001</v>
      </c>
      <c r="C4">
        <v>5499.7169999999996</v>
      </c>
      <c r="D4">
        <v>10797.093000000001</v>
      </c>
      <c r="E4">
        <v>0.54331948423524745</v>
      </c>
      <c r="F4">
        <v>0.49062983897610218</v>
      </c>
      <c r="G4">
        <v>1.7090000000000001</v>
      </c>
      <c r="H4">
        <v>5.4669999999999996</v>
      </c>
      <c r="I4">
        <v>84.152000000000001</v>
      </c>
      <c r="J4">
        <v>0.52800000000000002</v>
      </c>
      <c r="K4">
        <v>0.57499999999999996</v>
      </c>
      <c r="L4">
        <v>0.50700000000000001</v>
      </c>
      <c r="N4" t="str">
        <f t="shared" si="0"/>
        <v>3 &amp; 10797.09 &amp; 4930.82 &amp; 5499.72 &amp; 0.54 &amp; 0.49 &amp; 1.71 &amp; 5.47 &amp; 84.15 &amp; 0.53 &amp; 0.58 &amp; 0.51\\</v>
      </c>
    </row>
    <row r="5" spans="1:14">
      <c r="A5" s="1" t="s">
        <v>15</v>
      </c>
      <c r="B5">
        <v>2194.6990000000001</v>
      </c>
      <c r="C5">
        <v>2872.3249999999998</v>
      </c>
      <c r="D5">
        <v>5293.7309999999998</v>
      </c>
      <c r="E5">
        <v>0.58541546595397453</v>
      </c>
      <c r="F5">
        <v>0.45741009507283242</v>
      </c>
      <c r="G5">
        <v>0.66300000000000003</v>
      </c>
      <c r="H5">
        <v>2.0569999999999999</v>
      </c>
      <c r="I5">
        <v>85.031999999999996</v>
      </c>
      <c r="J5">
        <v>0.59899999999999998</v>
      </c>
      <c r="K5">
        <v>0.626</v>
      </c>
      <c r="L5">
        <v>0.47899999999999998</v>
      </c>
      <c r="N5" t="str">
        <f t="shared" si="0"/>
        <v>4 &amp; 5293.73 &amp; 2194.7 &amp; 2872.33 &amp; 0.59 &amp; 0.46 &amp; 0.66 &amp; 2.06 &amp; 85.03 &amp; 0.6 &amp; 0.63 &amp; 0.48\\</v>
      </c>
    </row>
    <row r="6" spans="1:14">
      <c r="A6" s="1" t="s">
        <v>16</v>
      </c>
      <c r="B6">
        <v>2142.8939999999998</v>
      </c>
      <c r="C6">
        <v>2884.2359999999999</v>
      </c>
      <c r="D6">
        <v>4742.5540000000001</v>
      </c>
      <c r="E6">
        <v>0.54815612009900161</v>
      </c>
      <c r="F6">
        <v>0.39183908079907998</v>
      </c>
      <c r="G6">
        <v>0.879</v>
      </c>
      <c r="H6">
        <v>1.6890000000000001</v>
      </c>
      <c r="I6">
        <v>21.201000000000001</v>
      </c>
      <c r="J6">
        <v>0.59899999999999998</v>
      </c>
      <c r="K6">
        <v>0.626</v>
      </c>
      <c r="L6">
        <v>0.46100000000000002</v>
      </c>
      <c r="N6" t="str">
        <f t="shared" si="0"/>
        <v>5 &amp; 4742.55 &amp; 2142.89 &amp; 2884.24 &amp; 0.55 &amp; 0.39 &amp; 0.88 &amp; 1.69 &amp; 21.2 &amp; 0.6 &amp; 0.63 &amp; 0.46\\</v>
      </c>
    </row>
    <row r="7" spans="1:14">
      <c r="A7" s="1" t="s">
        <v>17</v>
      </c>
      <c r="B7">
        <v>2248.1550000000002</v>
      </c>
      <c r="C7">
        <v>2877.0970000000002</v>
      </c>
      <c r="D7">
        <v>6327.5649999999996</v>
      </c>
      <c r="E7">
        <v>0.64470455854661302</v>
      </c>
      <c r="F7">
        <v>0.5453073970792871</v>
      </c>
      <c r="G7">
        <v>0.75900000000000001</v>
      </c>
      <c r="H7">
        <v>2.1469999999999998</v>
      </c>
      <c r="I7">
        <v>168.923</v>
      </c>
      <c r="J7">
        <v>0.60399999999999998</v>
      </c>
      <c r="K7">
        <v>0.63</v>
      </c>
      <c r="L7">
        <v>0.47</v>
      </c>
      <c r="N7" t="str">
        <f t="shared" si="0"/>
        <v>6 &amp; 6327.57 &amp; 2248.16 &amp; 2877.1 &amp; 0.64 &amp; 0.55 &amp; 0.76 &amp; 2.15 &amp; 168.92 &amp; 0.6 &amp; 0.63 &amp; 0.47\\</v>
      </c>
    </row>
    <row r="8" spans="1:14">
      <c r="A8" s="1" t="s">
        <v>18</v>
      </c>
      <c r="B8">
        <v>2280.4499999999998</v>
      </c>
      <c r="C8">
        <v>2862.4650000000001</v>
      </c>
      <c r="D8">
        <v>6327.6549999999997</v>
      </c>
      <c r="E8">
        <v>0.63960582553884493</v>
      </c>
      <c r="F8">
        <v>0.54762625332765447</v>
      </c>
      <c r="G8">
        <v>0.64100000000000001</v>
      </c>
      <c r="H8">
        <v>2.2200000000000002</v>
      </c>
      <c r="I8">
        <v>178.26599999999999</v>
      </c>
      <c r="J8">
        <v>0.59399999999999997</v>
      </c>
      <c r="K8">
        <v>0.624</v>
      </c>
      <c r="L8">
        <v>0.47099999999999997</v>
      </c>
      <c r="N8" t="str">
        <f t="shared" si="0"/>
        <v>7 &amp; 6327.66 &amp; 2280.45 &amp; 2862.47 &amp; 0.64 &amp; 0.55 &amp; 0.64 &amp; 2.22 &amp; 178.27 &amp; 0.59 &amp; 0.62 &amp; 0.47\\</v>
      </c>
    </row>
    <row r="9" spans="1:14">
      <c r="A9" s="1" t="s">
        <v>19</v>
      </c>
      <c r="B9">
        <v>72.849000000000004</v>
      </c>
      <c r="C9">
        <v>212.33799999999999</v>
      </c>
      <c r="D9">
        <v>735.83699999999999</v>
      </c>
      <c r="E9">
        <v>0.90099845482083663</v>
      </c>
      <c r="F9">
        <v>0.71143337451093114</v>
      </c>
      <c r="G9">
        <v>2.8000000000000001E-2</v>
      </c>
      <c r="H9">
        <v>7.8E-2</v>
      </c>
      <c r="I9">
        <v>20.027999999999999</v>
      </c>
      <c r="N9" t="str">
        <f>A9 &amp; " &amp; " &amp; ROUND(D9, 2) &amp; " &amp; " &amp; ROUND(B9, 2) &amp; " &amp; " &amp; ROUND(C9, 2) &amp; " &amp; " &amp; ROUND(E9, 2) &amp; " &amp; " &amp; ROUND(F9,2) &amp; " &amp; " &amp; ROUND(G9, 2) &amp; " &amp; " &amp; ROUND(H9, 2) &amp; " &amp; " &amp; ROUND(I9, 2) &amp; " &amp; " &amp; " &amp; " &amp; " &amp; "&amp; "\\"</f>
        <v>1_np &amp; 735.84 &amp; 72.85 &amp; 212.34 &amp; 0.9 &amp; 0.71 &amp; 0.03 &amp; 0.08 &amp; 20.03 &amp;  &amp;  &amp; \\</v>
      </c>
    </row>
    <row r="10" spans="1:14">
      <c r="A10" s="1" t="s">
        <v>20</v>
      </c>
      <c r="B10">
        <v>287.00099999999998</v>
      </c>
      <c r="C10">
        <v>521.65599999999995</v>
      </c>
      <c r="D10">
        <v>1360.6479999999999</v>
      </c>
      <c r="E10">
        <v>0.78907035471334241</v>
      </c>
      <c r="F10">
        <v>0.61661208483016916</v>
      </c>
      <c r="G10">
        <v>6.7000000000000004E-2</v>
      </c>
      <c r="H10">
        <v>0.20200000000000001</v>
      </c>
      <c r="I10">
        <v>22.466999999999999</v>
      </c>
      <c r="N10" t="str">
        <f t="shared" ref="N10:N15" si="1">A10 &amp; " &amp; " &amp; ROUND(D10, 2) &amp; " &amp; " &amp; ROUND(B10, 2) &amp; " &amp; " &amp; ROUND(C10, 2) &amp; " &amp; " &amp; ROUND(E10, 2) &amp; " &amp; " &amp; ROUND(F10,2) &amp; " &amp; " &amp; ROUND(G10, 2) &amp; " &amp; " &amp; ROUND(H10, 2) &amp; " &amp; " &amp; ROUND(I10, 2) &amp; " &amp; " &amp; " &amp; " &amp; " &amp; "&amp; "\\"</f>
        <v>2_np &amp; 1360.65 &amp; 287 &amp; 521.66 &amp; 0.79 &amp; 0.62 &amp; 0.07 &amp; 0.2 &amp; 22.47 &amp;  &amp;  &amp; \\</v>
      </c>
    </row>
    <row r="11" spans="1:14">
      <c r="A11" s="1" t="s">
        <v>21</v>
      </c>
      <c r="B11">
        <v>487.46100000000001</v>
      </c>
      <c r="C11">
        <v>734.94200000000001</v>
      </c>
      <c r="D11">
        <v>1899.644</v>
      </c>
      <c r="E11">
        <v>0.74339349899244278</v>
      </c>
      <c r="F11">
        <v>0.61311593119552932</v>
      </c>
      <c r="G11">
        <v>0.14099999999999999</v>
      </c>
      <c r="H11">
        <v>0.40100000000000002</v>
      </c>
      <c r="I11">
        <v>19.161000000000001</v>
      </c>
      <c r="N11" t="str">
        <f t="shared" si="1"/>
        <v>3_np &amp; 1899.64 &amp; 487.46 &amp; 734.94 &amp; 0.74 &amp; 0.61 &amp; 0.14 &amp; 0.4 &amp; 19.16 &amp;  &amp;  &amp; \\</v>
      </c>
    </row>
    <row r="12" spans="1:14">
      <c r="A12" s="1" t="s">
        <v>22</v>
      </c>
      <c r="B12">
        <v>318.50700000000001</v>
      </c>
      <c r="C12">
        <v>546.00400000000002</v>
      </c>
      <c r="D12">
        <v>1172.3879999999999</v>
      </c>
      <c r="E12">
        <v>0.72832628788421572</v>
      </c>
      <c r="F12">
        <v>0.53428046005247409</v>
      </c>
      <c r="G12">
        <v>7.2999999999999995E-2</v>
      </c>
      <c r="H12">
        <v>0.192</v>
      </c>
      <c r="I12">
        <v>12.305</v>
      </c>
      <c r="N12" t="str">
        <f t="shared" si="1"/>
        <v>4_np &amp; 1172.39 &amp; 318.51 &amp; 546 &amp; 0.73 &amp; 0.53 &amp; 0.07 &amp; 0.19 &amp; 12.31 &amp;  &amp;  &amp; \\</v>
      </c>
    </row>
    <row r="13" spans="1:14">
      <c r="A13" s="1" t="s">
        <v>23</v>
      </c>
      <c r="B13">
        <v>350.01400000000001</v>
      </c>
      <c r="C13">
        <v>570.35199999999998</v>
      </c>
      <c r="D13">
        <v>1110.9780000000001</v>
      </c>
      <c r="E13">
        <v>0.68494965696890486</v>
      </c>
      <c r="F13">
        <v>0.48662169727933408</v>
      </c>
      <c r="G13">
        <v>6.2E-2</v>
      </c>
      <c r="H13">
        <v>0.23</v>
      </c>
      <c r="I13">
        <v>2.8450000000000002</v>
      </c>
      <c r="N13" t="str">
        <f t="shared" si="1"/>
        <v>5_np &amp; 1110.98 &amp; 350.01 &amp; 570.35 &amp; 0.68 &amp; 0.49 &amp; 0.06 &amp; 0.23 &amp; 2.85 &amp;  &amp;  &amp; \\</v>
      </c>
    </row>
    <row r="14" spans="1:14">
      <c r="A14" s="1" t="s">
        <v>24</v>
      </c>
      <c r="B14">
        <v>276.68299999999999</v>
      </c>
      <c r="C14">
        <v>532.68600000000004</v>
      </c>
      <c r="D14">
        <v>1360.6479999999999</v>
      </c>
      <c r="E14">
        <v>0.79665350627054166</v>
      </c>
      <c r="F14">
        <v>0.6085056531887747</v>
      </c>
      <c r="G14">
        <v>6.8000000000000005E-2</v>
      </c>
      <c r="H14">
        <v>0.318</v>
      </c>
      <c r="I14">
        <v>22.888000000000002</v>
      </c>
      <c r="N14" t="str">
        <f t="shared" si="1"/>
        <v>6_np &amp; 1360.65 &amp; 276.68 &amp; 532.69 &amp; 0.8 &amp; 0.61 &amp; 0.07 &amp; 0.32 &amp; 22.89 &amp;  &amp;  &amp; \\</v>
      </c>
    </row>
    <row r="15" spans="1:14">
      <c r="A15" s="1" t="s">
        <v>25</v>
      </c>
      <c r="B15">
        <v>287.00099999999998</v>
      </c>
      <c r="C15">
        <v>529.07100000000003</v>
      </c>
      <c r="D15">
        <v>1360.6479999999999</v>
      </c>
      <c r="E15">
        <v>0.78907035471334241</v>
      </c>
      <c r="F15">
        <v>0.61116247552636682</v>
      </c>
      <c r="G15">
        <v>6.9000000000000006E-2</v>
      </c>
      <c r="H15">
        <v>0.20300000000000001</v>
      </c>
      <c r="I15">
        <v>24.047000000000001</v>
      </c>
      <c r="N15" t="str">
        <f t="shared" si="1"/>
        <v>7_np &amp; 1360.65 &amp; 287 &amp; 529.07 &amp; 0.79 &amp; 0.61 &amp; 0.07 &amp; 0.2 &amp; 24.05 &amp;  &amp;  &amp; \\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黃林鈞 Lin Chun,Huang</cp:lastModifiedBy>
  <dcterms:created xsi:type="dcterms:W3CDTF">2025-05-24T05:31:08Z</dcterms:created>
  <dcterms:modified xsi:type="dcterms:W3CDTF">2025-05-24T05:49:36Z</dcterms:modified>
</cp:coreProperties>
</file>